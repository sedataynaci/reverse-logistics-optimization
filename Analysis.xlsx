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worksheets/sheet10.xml" ContentType="application/vnd.openxmlformats-officedocument.spreadsheetml.worksheet+xml"/>
  <Override PartName="/xl/comments8.xml" ContentType="application/vnd.openxmlformats-officedocument.spreadsheetml.comments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d32f2808e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1066136114248ff"/>
    <x:sheet xmlns:r="http://schemas.openxmlformats.org/officeDocument/2006/relationships" name="AHP" sheetId="2" r:id="Rbfa8809ebab648a6"/>
    <x:sheet xmlns:r="http://schemas.openxmlformats.org/officeDocument/2006/relationships" name="TOPSIS" sheetId="3" r:id="R16377cf691a44158"/>
    <x:sheet xmlns:r="http://schemas.openxmlformats.org/officeDocument/2006/relationships" name="Base_F1_F2" sheetId="4" r:id="R9300256149c44ccc"/>
    <x:sheet xmlns:r="http://schemas.openxmlformats.org/officeDocument/2006/relationships" name="Base_F1_F3" sheetId="5" r:id="Radd2975332b34c3b"/>
    <x:sheet xmlns:r="http://schemas.openxmlformats.org/officeDocument/2006/relationships" name="Base_F1_F4" sheetId="6" r:id="R210b5fd5cc7a41a9"/>
    <x:sheet xmlns:r="http://schemas.openxmlformats.org/officeDocument/2006/relationships" name="Base_Summary" sheetId="7" r:id="R7507f1d626624798"/>
    <x:sheet xmlns:r="http://schemas.openxmlformats.org/officeDocument/2006/relationships" name="Scenario_1" sheetId="8" r:id="Rac2658c2c9f743ca"/>
    <x:sheet xmlns:r="http://schemas.openxmlformats.org/officeDocument/2006/relationships" name="Scenario_2" sheetId="9" r:id="R11e6e21a305c410c"/>
    <x:sheet xmlns:r="http://schemas.openxmlformats.org/officeDocument/2006/relationships" name="Scenario_3" sheetId="10" r:id="R390278e678754822"/>
    <x:sheet xmlns:r="http://schemas.openxmlformats.org/officeDocument/2006/relationships" name="Scenario_4" sheetId="11" r:id="Rc9d4ee365ee34be8"/>
    <x:sheet xmlns:r="http://schemas.openxmlformats.org/officeDocument/2006/relationships" name="Summary_Charts" sheetId="12" r:id="R22c790bf8d16423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Built from the user-provided thesis DOCX and original XLSX.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6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7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8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comments9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Source: user-provided thesis DOCX and original XLSX.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0.0"/>
    <x:numFmt numFmtId="165" formatCode="\$#,##0.00;[Red]\(\$#,##0.00\);\-"/>
    <x:numFmt numFmtId="166" formatCode="\$#,##0.000;[Red]\(\$#,##0.000\);\-"/>
    <x:numFmt numFmtId="167" formatCode="0.0%"/>
    <x:numFmt numFmtId="168" formatCode="0.000"/>
    <x:numFmt numFmtId="169" formatCode="0.0000"/>
    <x:numFmt numFmtId="170" formatCode="$#,##0"/>
    <x:numFmt numFmtId="171" formatCode="$#,##0.00"/>
    <x:numFmt numFmtId="172" formatCode="$#,##0.000"/>
  </x:numFmts>
  <x:fonts count="11">
    <x:font>
      <x:sz val="11"/>
      <x:color theme="1"/>
      <x:name val="Calibri"/>
      <x:family val="2"/>
      <x:scheme val="minor"/>
    </x:font>
    <x:font>
      <x:b/>
      <x:sz val="14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name val="Calibri"/>
      <x:family val="2"/>
    </x:font>
    <x:font>
      <x:sz val="11"/>
      <x:color rgb="FF0000FF"/>
      <x:name val="Calibri"/>
      <x:family val="2"/>
    </x:font>
    <x:font>
      <x:sz val="11"/>
      <x:color rgb="FF000000"/>
      <x:name val="Calibri"/>
      <x:family val="2"/>
    </x:font>
    <x:font>
      <x:sz val="11"/>
      <x:color rgb="FF008000"/>
      <x:name val="Calibri"/>
      <x:family val="2"/>
    </x:font>
    <x:font>
      <x:b/>
      <x:sz val="11"/>
      <x:color rgb="FFFFFFFF"/>
      <x:name val="Aptos Narrow"/>
      <x:family val="2"/>
    </x:font>
    <x:font>
      <x:sz val="11"/>
      <x:color rgb="FF000000"/>
      <x:name val="Aptos Narrow"/>
      <x:family val="2"/>
    </x:font>
    <x:font>
      <x:b/>
      <x:sz val="11"/>
      <x:color rgb="FF000000"/>
      <x:name val="Aptos Narrow"/>
      <x:family val="2"/>
    </x:font>
    <x:font>
      <x:b/>
      <x:sz val="14"/>
      <x:color theme="1"/>
      <x:name val="Calibri"/>
      <x:family val="2"/>
      <x:scheme val="minor"/>
    </x:font>
  </x:fonts>
  <x:fills count="1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3F3F3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EAF3FB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theme="2"/>
      </x:patternFill>
    </x:fill>
    <x:fill>
      <x:patternFill patternType="solid">
        <x:fgColor theme="4" tint="0.79998"/>
      </x:patternFill>
    </x:fill>
    <x:fill>
      <x:patternFill patternType="solid">
        <x:fgColor theme="8" tint="0.79998"/>
      </x:patternFill>
    </x:fill>
    <x:fill>
      <x:patternFill patternType="solid">
        <x:fgColor theme="2"/>
      </x:patternFill>
    </x:fill>
    <x:fill>
      <x:patternFill patternType="solid">
        <x:fgColor theme="0" tint="-0.0499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FBFBF"/>
      </x:bottom>
      <x:diagonal/>
    </x:border>
    <x:border>
      <x:left/>
      <x:right/>
      <x:top/>
      <x:bottom style="medium">
        <x:color rgb="FFBFBFBF"/>
      </x:bottom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" fillId="2" borderId="0" xfId="0" applyAlignment="1">
      <x:alignment horizontal="left" vertical="center"/>
    </x:xf>
    <x:xf numFmtId="0" fontId="0" fillId="3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0" fontId="3" fillId="5" borderId="0" xfId="0" applyAlignment="1">
      <x:alignment horizontal="left" vertical="center"/>
    </x:xf>
    <x:xf numFmtId="1" fontId="4" fillId="6" borderId="0" xfId="0" applyAlignment="1">
      <x:alignment horizontal="center" vertical="center"/>
    </x:xf>
    <x:xf numFmtId="0" fontId="2" fillId="4" borderId="1" xfId="0" applyAlignment="1">
      <x:alignment horizontal="left" vertical="center"/>
    </x:xf>
    <x:xf numFmtId="0" fontId="2" fillId="4" borderId="1" xfId="0" applyAlignment="1">
      <x:alignment horizontal="center" vertical="center"/>
    </x:xf>
    <x:xf numFmtId="164" fontId="4" fillId="0" borderId="0" xfId="0" applyAlignment="1">
      <x:alignment horizontal="center" vertical="center"/>
    </x:xf>
    <x:xf numFmtId="2" fontId="5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165" fontId="4" fillId="0" borderId="0" xfId="0" applyAlignment="1">
      <x:alignment horizontal="center" vertical="center"/>
    </x:xf>
    <x:xf numFmtId="1" fontId="4" fillId="0" borderId="0" xfId="0" applyAlignment="1">
      <x:alignment horizontal="center" vertical="center"/>
    </x:xf>
    <x:xf numFmtId="1" fontId="5" fillId="0" borderId="0" xfId="0" applyAlignment="1">
      <x:alignment horizontal="center" vertical="center"/>
    </x:xf>
    <x:xf numFmtId="0" fontId="3" fillId="7" borderId="0" xfId="0" applyAlignment="1">
      <x:alignment horizontal="left" vertical="center"/>
    </x:xf>
    <x:xf numFmtId="0" fontId="3" fillId="7" borderId="0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165" fontId="0" fillId="7" borderId="0" xfId="0" applyAlignment="1">
      <x:alignment horizontal="center" vertical="center"/>
    </x:xf>
    <x:xf numFmtId="166" fontId="0" fillId="7" borderId="0" xfId="0" applyAlignment="1">
      <x:alignment horizontal="center" vertical="center"/>
    </x:xf>
    <x:xf numFmtId="165" fontId="5" fillId="7" borderId="0" xfId="0" applyAlignment="1">
      <x:alignment horizontal="center" vertical="center"/>
    </x:xf>
    <x:xf numFmtId="0" fontId="3" fillId="5" borderId="0" xfId="0"/>
    <x:xf numFmtId="0" fontId="0" fillId="7" borderId="0" xfId="0"/>
    <x:xf numFmtId="2" fontId="5" fillId="7" borderId="0" xfId="0" applyAlignment="1">
      <x:alignment horizontal="center" vertical="center"/>
    </x:xf>
    <x:xf numFmtId="2" fontId="0" fillId="8" borderId="0" xfId="0" applyAlignment="1">
      <x:alignment horizontal="center" vertical="center"/>
    </x:xf>
    <x:xf numFmtId="167" fontId="0" fillId="8" borderId="0" xfId="0" applyAlignment="1">
      <x:alignment horizontal="center" vertical="center"/>
    </x:xf>
    <x:xf numFmtId="0" fontId="0" fillId="8" borderId="0" xfId="0" applyAlignment="1">
      <x:alignment horizontal="center" vertical="center"/>
    </x:xf>
    <x:xf numFmtId="2" fontId="0" fillId="0" borderId="0" xfId="0" applyAlignment="1">
      <x:alignment horizontal="center" vertical="center"/>
    </x:xf>
    <x:xf numFmtId="166" fontId="0" fillId="0" borderId="0" xfId="0" applyAlignment="1">
      <x:alignment horizontal="center" vertical="center"/>
    </x:xf>
    <x:xf numFmtId="2" fontId="3" fillId="7" borderId="0" xfId="0" applyAlignment="1">
      <x:alignment horizontal="center" vertical="center"/>
    </x:xf>
    <x:xf numFmtId="166" fontId="3" fillId="7" borderId="0" xfId="0" applyAlignment="1">
      <x:alignment horizontal="center" vertical="center"/>
    </x:xf>
    <x:xf numFmtId="1" fontId="6" fillId="7" borderId="0" xfId="0" applyAlignment="1">
      <x:alignment horizontal="center" vertical="center"/>
    </x:xf>
    <x:xf numFmtId="165" fontId="6" fillId="7" borderId="0" xfId="0" applyAlignment="1">
      <x:alignment horizontal="center" vertical="center"/>
    </x:xf>
    <x:xf numFmtId="165" fontId="0" fillId="0" borderId="0" xfId="0" applyAlignment="1">
      <x:alignment horizontal="center" vertical="center"/>
    </x:xf>
    <x:xf numFmtId="165" fontId="0" fillId="8" borderId="0" xfId="0" applyAlignment="1">
      <x:alignment horizontal="center" vertical="center"/>
    </x:xf>
    <x:xf numFmtId="166" fontId="0" fillId="8" borderId="0" xfId="0" applyAlignment="1">
      <x:alignment horizontal="center" vertical="center"/>
    </x:xf>
    <x:xf numFmtId="2" fontId="0" fillId="6" borderId="0" xfId="0" applyAlignment="1">
      <x:alignment horizontal="center" vertical="center"/>
    </x:xf>
    <x:xf numFmtId="2" fontId="0" fillId="7" borderId="0" xfId="0" applyAlignment="1">
      <x:alignment horizontal="center" vertical="center"/>
    </x:xf>
    <x:xf numFmtId="0" fontId="2" fillId="4" borderId="0" xfId="0" applyAlignment="1">
      <x:alignment horizontal="left" vertical="center"/>
    </x:xf>
    <x:xf numFmtId="0" fontId="0" fillId="0" borderId="0" xfId="0"/>
    <x:xf numFmtId="0" fontId="2" fillId="4" borderId="0" xfId="0" applyAlignment="1">
      <x:alignment horizontal="center" vertical="center"/>
    </x:xf>
    <x:xf numFmtId="0" fontId="7" fillId="9" borderId="2" xfId="0" applyAlignment="1">
      <x:alignment horizontal="left" vertical="center"/>
    </x:xf>
    <x:xf numFmtId="0" fontId="7" fillId="9" borderId="2" xfId="0" applyAlignment="1">
      <x:alignment horizontal="center" vertical="center"/>
    </x:xf>
    <x:xf numFmtId="0" fontId="8" fillId="0" borderId="0" xfId="0" applyAlignment="1">
      <x:alignment horizontal="left" vertical="center"/>
    </x:xf>
    <x:xf numFmtId="0" fontId="8" fillId="0" borderId="0" xfId="0" applyAlignment="1">
      <x:alignment horizontal="center" vertical="center"/>
    </x:xf>
    <x:xf numFmtId="165" fontId="8" fillId="0" borderId="0" xfId="0" applyAlignment="1">
      <x:alignment horizontal="center" vertical="center"/>
    </x:xf>
    <x:xf numFmtId="166" fontId="8" fillId="0" borderId="0" xfId="0" applyAlignment="1">
      <x:alignment horizontal="center" vertical="center"/>
    </x:xf>
    <x:xf numFmtId="0" fontId="7" fillId="9" borderId="0" xfId="0" applyAlignment="1">
      <x:alignment horizontal="left" vertical="center"/>
    </x:xf>
    <x:xf numFmtId="0" fontId="8" fillId="0" borderId="0" xfId="0"/>
    <x:xf numFmtId="0" fontId="7" fillId="9" borderId="0" xfId="0" applyAlignment="1">
      <x:alignment horizontal="center" vertical="center"/>
    </x:xf>
    <x:xf numFmtId="0" fontId="3" fillId="10" borderId="0" xfId="0" applyAlignment="1">
      <x:alignment horizontal="left" vertical="center"/>
    </x:xf>
    <x:xf numFmtId="0" fontId="1" fillId="10" borderId="0" xfId="0" applyAlignment="1">
      <x:alignment horizontal="left" vertical="center"/>
    </x:xf>
    <x:xf numFmtId="2" fontId="4" fillId="11" borderId="0" xfId="0" applyAlignment="1">
      <x:alignment horizontal="center" vertical="center"/>
    </x:xf>
    <x:xf numFmtId="1" fontId="4" fillId="11" borderId="0" xfId="0" applyAlignment="1">
      <x:alignment horizontal="center" vertical="center"/>
    </x:xf>
    <x:xf numFmtId="0" fontId="10" fillId="12" borderId="0" xfId="0"/>
    <x:xf numFmtId="0" fontId="1" fillId="12" borderId="0" xfId="0" applyAlignment="1">
      <x:alignment horizontal="left" vertical="center"/>
    </x:xf>
    <x:xf numFmtId="0" fontId="9" fillId="13" borderId="0" xfId="0" applyAlignment="1">
      <x:alignment horizontal="center" vertical="center"/>
    </x:xf>
    <x:xf numFmtId="0" fontId="8" fillId="14" borderId="0" xfId="0" applyAlignment="1">
      <x:alignment horizontal="center" vertical="center"/>
    </x:xf>
    <x:xf numFmtId="168" fontId="4" fillId="0" borderId="0" xfId="0" applyAlignment="1">
      <x:alignment horizontal="center" vertical="center"/>
    </x:xf>
    <x:xf numFmtId="169" fontId="4" fillId="0" borderId="0" xfId="0" applyAlignment="1">
      <x:alignment horizontal="center" vertical="center"/>
    </x:xf>
    <x:xf numFmtId="170" fontId="4" fillId="0" borderId="0" xfId="0" applyAlignment="1">
      <x:alignment horizontal="center" vertical="center"/>
    </x:xf>
    <x:xf numFmtId="167" fontId="4" fillId="0" borderId="0" xfId="0" applyAlignment="1">
      <x:alignment horizontal="center" vertical="center"/>
    </x:xf>
    <x:xf numFmtId="2" fontId="4" fillId="0" borderId="0" xfId="0" applyAlignment="1">
      <x:alignment horizontal="center" vertical="center"/>
    </x:xf>
    <x:xf numFmtId="171" fontId="4" fillId="0" borderId="0" xfId="0" applyAlignment="1">
      <x:alignment horizontal="center" vertical="center"/>
    </x:xf>
    <x:xf numFmtId="172" fontId="4" fillId="0" borderId="0" xfId="0" applyAlignment="1">
      <x:alignment horizontal="center" vertical="center"/>
    </x:xf>
    <x:xf numFmtId="171" fontId="0" fillId="7" borderId="0" xfId="0" applyAlignment="1">
      <x:alignment horizontal="center" vertical="center"/>
    </x:xf>
    <x:xf numFmtId="172" fontId="0" fillId="7" borderId="0" xfId="0" applyAlignment="1">
      <x:alignment horizontal="center" vertical="center"/>
    </x:xf>
    <x:xf numFmtId="172" fontId="0" fillId="8" borderId="0" xfId="0" applyAlignment="1">
      <x:alignment horizontal="center" vertical="center"/>
    </x:xf>
    <x:xf numFmtId="169" fontId="4" fillId="11" borderId="0" xfId="0" applyAlignment="1">
      <x:alignment horizontal="center" vertical="center"/>
    </x:xf>
    <x:xf numFmtId="164" fontId="3" fillId="7" borderId="0" xfId="0" applyAlignment="1">
      <x:alignment horizontal="center" vertical="center"/>
    </x:xf>
    <x:xf numFmtId="169" fontId="5" fillId="0" borderId="0" xfId="0" applyAlignment="1">
      <x:alignment horizontal="center" vertical="center"/>
    </x:xf>
    <x:xf numFmtId="171" fontId="0" fillId="0" borderId="0" xfId="0" applyAlignment="1">
      <x:alignment horizontal="center" vertical="center"/>
    </x:xf>
    <x:xf numFmtId="171" fontId="3" fillId="7" borderId="0" xfId="0" applyAlignment="1">
      <x:alignment horizontal="center" vertical="center"/>
    </x:xf>
    <x:xf numFmtId="171" fontId="0" fillId="8" borderId="0" xfId="0" applyAlignment="1">
      <x:alignment horizontal="center" vertical="center"/>
    </x:xf>
    <x:xf numFmtId="171" fontId="3" fillId="5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6d40048774cc8" /><Relationship Type="http://schemas.openxmlformats.org/officeDocument/2006/relationships/theme" Target="/xl/theme/theme1.xml" Id="R15b6c8515b1e4ec4" /><Relationship Type="http://schemas.openxmlformats.org/officeDocument/2006/relationships/sharedStrings" Target="/xl/sharedStrings.xml" Id="R301a07ba99a347ae" /><Relationship Type="http://schemas.openxmlformats.org/officeDocument/2006/relationships/worksheet" Target="/xl/worksheets/sheet1.xml" Id="R41066136114248ff" /><Relationship Type="http://schemas.openxmlformats.org/officeDocument/2006/relationships/worksheet" Target="/xl/worksheets/sheet2.xml" Id="Rbfa8809ebab648a6" /><Relationship Type="http://schemas.openxmlformats.org/officeDocument/2006/relationships/worksheet" Target="/xl/worksheets/sheet3.xml" Id="R16377cf691a44158" /><Relationship Type="http://schemas.openxmlformats.org/officeDocument/2006/relationships/worksheet" Target="/xl/worksheets/sheet4.xml" Id="R9300256149c44ccc" /><Relationship Type="http://schemas.openxmlformats.org/officeDocument/2006/relationships/worksheet" Target="/xl/worksheets/sheet5.xml" Id="Radd2975332b34c3b" /><Relationship Type="http://schemas.openxmlformats.org/officeDocument/2006/relationships/worksheet" Target="/xl/worksheets/sheet6.xml" Id="R210b5fd5cc7a41a9" /><Relationship Type="http://schemas.openxmlformats.org/officeDocument/2006/relationships/worksheet" Target="/xl/worksheets/sheet7.xml" Id="R7507f1d626624798" /><Relationship Type="http://schemas.openxmlformats.org/officeDocument/2006/relationships/worksheet" Target="/xl/worksheets/sheet8.xml" Id="Rac2658c2c9f743ca" /><Relationship Type="http://schemas.openxmlformats.org/officeDocument/2006/relationships/worksheet" Target="/xl/worksheets/sheet9.xml" Id="R11e6e21a305c410c" /><Relationship Type="http://schemas.openxmlformats.org/officeDocument/2006/relationships/worksheet" Target="/xl/worksheets/sheet10.xml" Id="R390278e678754822" /><Relationship Type="http://schemas.openxmlformats.org/officeDocument/2006/relationships/worksheet" Target="/xl/worksheets/sheet11.xml" Id="Rc9d4ee365ee34be8" /><Relationship Type="http://schemas.openxmlformats.org/officeDocument/2006/relationships/worksheet" Target="/xl/worksheets/sheet12.xml" Id="R22c790bf8d16423f" /><Relationship Type="http://schemas.microsoft.com/office/2017/10/relationships/person" Target="/xl/persons/person.xml" Id="R9ae5ec3ed95f4815" /></Relationships>
</file>

<file path=xl/persons/person.xml><?xml version="1.0" encoding="utf-8"?>
<xltc:personList xmlns:xltc="http://schemas.microsoft.com/office/spreadsheetml/2018/threadedcomments">
  <xltc:person displayName="OpenAI" id="{0894574E-0A37-99CA-9D8F-D3356BBBF227}"/>
  <xltc:person displayName="OpenAI" id="{319EB471-EBF7-E1B7-D0E5-204C199B3B88}"/>
  <xltc:person displayName="OpenAI" id="{3B8EAB7D-3517-9F72-5D75-E23F4849E475}"/>
  <xltc:person displayName="OpenAI" id="{18289F49-CF4D-A19F-0C53-C791BD9C1354}"/>
  <xltc:person displayName="OpenAI" id="{AC209208-C3B2-6D14-3C38-1E4C19F5DB94}"/>
  <xltc:person displayName="OpenAI" id="{73879819-679A-FC83-D308-F7D8938AF4F6}"/>
  <xltc:person displayName="OpenAI" id="{224566DB-F870-C2C7-A0C2-E74BF7CD7705}"/>
  <xltc:person displayName="OpenAI" id="{64325E62-4519-464A-BD21-3DB278432A71}"/>
  <xltc:person displayName="OpenAI" id="{2C8D60C9-3262-9D72-FEBA-67D01858EE4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b5f0efc170d440d" /><Relationship Type="http://schemas.openxmlformats.org/officeDocument/2006/relationships/vmlDrawing" Target="/xl/drawings/vmldrawing.vml" Id="Rc5934d3bb46b40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19a8a03b356c4b0f" /><Relationship Type="http://schemas.openxmlformats.org/officeDocument/2006/relationships/vmlDrawing" Target="/xl/drawings/vmldrawing2.vml" Id="R9b402ac3b5564f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3f0a7ad399d647c6" /><Relationship Type="http://schemas.openxmlformats.org/officeDocument/2006/relationships/vmlDrawing" Target="/xl/drawings/vmldrawing3.vml" Id="R64cea610cf1245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57987d92bd294117" /><Relationship Type="http://schemas.openxmlformats.org/officeDocument/2006/relationships/vmlDrawing" Target="/xl/drawings/vmldrawing4.vml" Id="Raa7dfe730a4346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7816e8379b91417f" /><Relationship Type="http://schemas.openxmlformats.org/officeDocument/2006/relationships/vmlDrawing" Target="/xl/drawings/vmldrawing5.vml" Id="R15647996eb4845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6.xml" Id="R91e928180a3f4e7f" /><Relationship Type="http://schemas.openxmlformats.org/officeDocument/2006/relationships/vmlDrawing" Target="/xl/drawings/vmldrawing6.vml" Id="Rbcd05fd30d934a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7.xml" Id="Rf76b23040f7c4906" /><Relationship Type="http://schemas.openxmlformats.org/officeDocument/2006/relationships/vmlDrawing" Target="/xl/drawings/vmldrawing7.vml" Id="R842f0350cbd64d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8.xml" Id="Rdbf4a6c4d187465b" /><Relationship Type="http://schemas.openxmlformats.org/officeDocument/2006/relationships/vmlDrawing" Target="/xl/drawings/vmldrawing8.vml" Id="Rfd44438bf32848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9.xml" Id="Rcfbacb69fb4b4418" /><Relationship Type="http://schemas.openxmlformats.org/officeDocument/2006/relationships/vmlDrawing" Target="/xl/drawings/vmldrawing9.vml" Id="R05eb015b2ff0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4.7109375" style="38" customWidth="1"/>
    <x:col min="2" max="2" width="18.140625" style="38" customWidth="1"/>
    <x:col min="3" max="3" width="23.140625" style="38" customWidth="1"/>
    <x:col min="4" max="4" width="4" style="38" customWidth="1"/>
    <x:col min="5" max="5" width="7.28515625" style="38" customWidth="1"/>
    <x:col min="6" max="6" width="15.85546875" style="38" customWidth="1"/>
    <x:col min="7" max="7" width="18.140625" style="38" customWidth="1"/>
    <x:col min="8" max="8" width="23.140625" style="38" customWidth="1"/>
    <x:col min="9" max="11" width="5.5703125" style="38" customWidth="1"/>
    <x:col min="13" max="13" width="34" style="38" customWidth="1"/>
    <x:col min="14" max="14" width="18" style="38" customWidth="1"/>
    <x:col min="15" max="15" width="18" style="38" customWidth="1"/>
    <x:col min="16" max="16" width="16" style="38" customWidth="1"/>
    <x:col min="17" max="17" width="20" style="38" customWidth="1"/>
  </x:cols>
  <x:sheetData>
    <x:row r="1" s="38" customFormat="1" ht="18.75" customHeight="1">
      <x:c r="A1" s="50" t="inlineStr">
        <x:is>
          <x:t xml:space="preserve">Inputs and Driver Tables</x:t>
        </x:is>
      </x:c>
    </x:row>
    <x:row r="3">
      <x:c r="A3" s="37" t="inlineStr">
        <x:is>
          <x:t xml:space="preserve">Scenario Controls</x:t>
        </x:is>
      </x:c>
      <x:c r="M3" s="37" t="inlineStr">
        <x:is>
          <x:t xml:space="preserve">Additional Parameters</x:t>
        </x:is>
      </x:c>
    </x:row>
    <x:row r="4">
      <x:c r="A4" s="49" t="inlineStr">
        <x:is>
          <x:t xml:space="preserve">Base transport coefficient, c_base (USD/ton-km)</x:t>
        </x:is>
      </x:c>
      <x:c r="B4" s="67" t="n">
        <x:v>0.12</x:v>
      </x:c>
      <x:c r="M4" s="3" t="inlineStr">
        <x:is>
          <x:t xml:space="preserve">Emission factor, e (kgCO2/ton-km)</x:t>
        </x:is>
      </x:c>
      <x:c r="N4" s="58" t="n">
        <x:v>0.062</x:v>
      </x:c>
    </x:row>
    <x:row r="5">
      <x:c r="A5" s="49" t="inlineStr">
        <x:is>
          <x:t xml:space="preserve">Scenario 1 transport coefficient, c_S1</x:t>
        </x:is>
      </x:c>
      <x:c r="B5" s="67" t="n">
        <x:v>0.1</x:v>
      </x:c>
      <x:c r="M5" s="3" t="inlineStr">
        <x:is>
          <x:t xml:space="preserve">Carbon cost, α (USD/ton CO2)</x:t>
        </x:is>
      </x:c>
      <x:c r="N5" s="58" t="n">
        <x:v>50</x:v>
      </x:c>
    </x:row>
    <x:row r="6">
      <x:c r="A6" s="49" t="inlineStr">
        <x:is>
          <x:t xml:space="preserve">Scenario 2 transport coefficient, c_S2</x:t>
        </x:is>
      </x:c>
      <x:c r="B6" s="67" t="n">
        <x:v>0.15</x:v>
      </x:c>
      <x:c r="M6" s="3" t="inlineStr">
        <x:is>
          <x:t xml:space="preserve">Carbon cost coefficient (USD/ton-km)</x:t>
        </x:is>
      </x:c>
      <x:c r="N6" s="58">
        <x:f>N4*N5/1000</x:f>
        <x:v>0.0031</x:v>
      </x:c>
    </x:row>
    <x:row r="7">
      <x:c r="A7" s="49" t="inlineStr">
        <x:is>
          <x:t xml:space="preserve">Scenario 3 capacity for F1 (ton)</x:t>
        </x:is>
      </x:c>
      <x:c r="B7" s="52" t="n">
        <x:v>150</x:v>
      </x:c>
      <x:c r="M7" s="3" t="inlineStr">
        <x:is>
          <x:t xml:space="preserve">Combined unit cost coefficient (USD/ton-km)</x:t>
        </x:is>
      </x:c>
      <x:c r="N7" s="58">
        <x:f>B4+N6</x:f>
        <x:v>0.1231</x:v>
      </x:c>
    </x:row>
    <x:row r="8">
      <x:c r="A8" s="49" t="inlineStr">
        <x:is>
          <x:t xml:space="preserve">Scenario 4 demand multiplier</x:t>
        </x:is>
      </x:c>
      <x:c r="B8" s="51" t="n">
        <x:v>1.2</x:v>
      </x:c>
      <x:c r="M8" s="3" t="inlineStr">
        <x:is>
          <x:t xml:space="preserve">Recovery revenue, r (USD/ton)</x:t>
        </x:is>
      </x:c>
      <x:c r="N8" s="59" t="n">
        <x:v>250</x:v>
      </x:c>
    </x:row>
    <x:row r="10">
      <x:c r="A10" s="37" t="inlineStr">
        <x:is>
          <x:t xml:space="preserve">Demand Table</x:t>
        </x:is>
      </x:c>
      <x:c r="E10" s="39" t="inlineStr">
        <x:is>
          <x:t xml:space="preserve">Facility Table</x:t>
        </x:is>
      </x:c>
      <x:c r="M10" s="37" t="inlineStr">
        <x:is>
          <x:t xml:space="preserve">Facility Distance and Emission Calculations</x:t>
        </x:is>
      </x:c>
    </x:row>
    <x:row r="11">
      <x:c r="A11" s="6" t="inlineStr">
        <x:is>
          <x:t xml:space="preserve">City</x:t>
        </x:is>
      </x:c>
      <x:c r="B11" s="7" t="inlineStr">
        <x:is>
          <x:t xml:space="preserve">Base Demand (ton)</x:t>
        </x:is>
      </x:c>
      <x:c r="C11" s="7" t="inlineStr">
        <x:is>
          <x:t xml:space="preserve">Scenario 4 Demand (ton)</x:t>
        </x:is>
      </x:c>
      <x:c r="E11" s="7" t="inlineStr">
        <x:is>
          <x:t xml:space="preserve">Facility</x:t>
        </x:is>
      </x:c>
      <x:c r="F11" s="7" t="inlineStr">
        <x:is>
          <x:t xml:space="preserve">Annual Fixed Cost (USD/year)</x:t>
        </x:is>
      </x:c>
      <x:c r="G11" s="7" t="inlineStr">
        <x:is>
          <x:t xml:space="preserve">Base Capacity (ton)</x:t>
        </x:is>
      </x:c>
      <x:c r="H11" s="7" t="inlineStr">
        <x:is>
          <x:t xml:space="preserve">Scenario 3 Capacity (ton)</x:t>
        </x:is>
      </x:c>
      <x:c r="M11" s="6" t="inlineStr">
        <x:is>
          <x:t xml:space="preserve">Facility</x:t>
        </x:is>
      </x:c>
      <x:c r="N11" s="6" t="inlineStr">
        <x:is>
          <x:t xml:space="preserve">Weighted Distance Numerator</x:t>
        </x:is>
      </x:c>
      <x:c r="O11" s="6" t="inlineStr">
        <x:is>
          <x:t xml:space="preserve">Weighted Avg Distance</x:t>
        </x:is>
      </x:c>
      <x:c r="P11" s="6" t="inlineStr">
        <x:is>
          <x:t xml:space="preserve">Emission</x:t>
        </x:is>
      </x:c>
      <x:c r="Q11" s="6" t="inlineStr">
        <x:is>
          <x:t xml:space="preserve"/>
        </x:is>
      </x:c>
    </x:row>
    <x:row r="12">
      <x:c r="A12" s="3" t="inlineStr">
        <x:is>
          <x:t xml:space="preserve">Istanbul</x:t>
        </x:is>
      </x:c>
      <x:c r="B12" s="8" t="n">
        <x:v>100.6</x:v>
      </x:c>
      <x:c r="C12" s="9">
        <x:f>B12*$B$8</x:f>
        <x:v>120.71999999999998</x:v>
      </x:c>
      <x:c r="E12" s="10" t="inlineStr">
        <x:is>
          <x:t xml:space="preserve">F1</x:t>
        </x:is>
      </x:c>
      <x:c r="F12" s="62" t="n">
        <x:v>5000</x:v>
      </x:c>
      <x:c r="G12" s="12" t="n">
        <x:v>200</x:v>
      </x:c>
      <x:c r="H12" s="13">
        <x:f>IF(E12="F1",$B$7,G12)</x:f>
        <x:v>150</x:v>
      </x:c>
      <x:c r="M12" s="3" t="inlineStr">
        <x:is>
          <x:t xml:space="preserve">F1</x:t>
        </x:is>
      </x:c>
      <x:c r="N12" s="8">
        <x:f>SUMPRODUCT($B$12:$B$17,$B$23:$B$28)</x:f>
        <x:v>44370.5</x:v>
      </x:c>
      <x:c r="O12" s="57">
        <x:f>N12/$B$18</x:f>
        <x:v>154.33217391304348</x:v>
      </x:c>
      <x:c r="P12" s="57">
        <x:f>N12*$N$4</x:f>
        <x:v>2750.971</x:v>
      </x:c>
    </x:row>
    <x:row r="13">
      <x:c r="A13" s="3" t="inlineStr">
        <x:is>
          <x:t xml:space="preserve">Kocaeli</x:t>
        </x:is>
      </x:c>
      <x:c r="B13" s="8" t="n">
        <x:v>71.90000000000001</x:v>
      </x:c>
      <x:c r="C13" s="9">
        <x:f>B13*$B$8</x:f>
        <x:v>86.28</x:v>
      </x:c>
      <x:c r="E13" s="10" t="inlineStr">
        <x:is>
          <x:t xml:space="preserve">F2</x:t>
        </x:is>
      </x:c>
      <x:c r="F13" s="62" t="n">
        <x:v>4000</x:v>
      </x:c>
      <x:c r="G13" s="12" t="n">
        <x:v>150</x:v>
      </x:c>
      <x:c r="H13" s="13">
        <x:f>IF(E13="F1",$B$7,G13)</x:f>
        <x:v>150</x:v>
      </x:c>
      <x:c r="M13" s="3" t="inlineStr">
        <x:is>
          <x:t xml:space="preserve">F2</x:t>
        </x:is>
      </x:c>
      <x:c r="N13" s="8">
        <x:f>SUMPRODUCT($B$12:$B$17,$C$23:$C$28)</x:f>
        <x:v>40773</x:v>
      </x:c>
      <x:c r="O13" s="57">
        <x:f>N13/$B$18</x:f>
        <x:v>141.8191304347826</x:v>
      </x:c>
      <x:c r="P13" s="57">
        <x:f>N13*$N$4</x:f>
        <x:v>2527.926</x:v>
      </x:c>
    </x:row>
    <x:row r="14">
      <x:c r="A14" s="3" t="inlineStr">
        <x:is>
          <x:t xml:space="preserve">Bursa</x:t>
        </x:is>
      </x:c>
      <x:c r="B14" s="8" t="n">
        <x:v>43.1</x:v>
      </x:c>
      <x:c r="C14" s="9">
        <x:f>B14*$B$8</x:f>
        <x:v>51.72</x:v>
      </x:c>
      <x:c r="E14" s="10" t="inlineStr">
        <x:is>
          <x:t xml:space="preserve">F3</x:t>
        </x:is>
      </x:c>
      <x:c r="F14" s="62" t="n">
        <x:v>2500</x:v>
      </x:c>
      <x:c r="G14" s="12" t="n">
        <x:v>100</x:v>
      </x:c>
      <x:c r="H14" s="13">
        <x:f>IF(E14="F1",$B$7,G14)</x:f>
        <x:v>100</x:v>
      </x:c>
      <x:c r="M14" s="3" t="inlineStr">
        <x:is>
          <x:t xml:space="preserve">F3</x:t>
        </x:is>
      </x:c>
      <x:c r="N14" s="8">
        <x:f>SUMPRODUCT($B$12:$B$17,$D$23:$D$28)</x:f>
        <x:v>67732</x:v>
      </x:c>
      <x:c r="O14" s="57">
        <x:f>N14/$B$18</x:f>
        <x:v>235.5895652173913</x:v>
      </x:c>
      <x:c r="P14" s="57">
        <x:f>N14*$N$4</x:f>
        <x:v>4199.384</x:v>
      </x:c>
    </x:row>
    <x:row r="15">
      <x:c r="A15" s="3" t="inlineStr">
        <x:is>
          <x:t xml:space="preserve">Izmir</x:t>
        </x:is>
      </x:c>
      <x:c r="B15" s="8" t="n">
        <x:v>28.8</x:v>
      </x:c>
      <x:c r="C15" s="9">
        <x:f>B15*$B$8</x:f>
        <x:v>34.56</x:v>
      </x:c>
      <x:c r="E15" s="10" t="inlineStr">
        <x:is>
          <x:t xml:space="preserve">F4</x:t>
        </x:is>
      </x:c>
      <x:c r="F15" s="62" t="n">
        <x:v>3000</x:v>
      </x:c>
      <x:c r="G15" s="12" t="n">
        <x:v>120</x:v>
      </x:c>
      <x:c r="H15" s="13">
        <x:f>IF(E15="F1",$B$7,G15)</x:f>
        <x:v>120</x:v>
      </x:c>
      <x:c r="M15" s="3" t="inlineStr">
        <x:is>
          <x:t xml:space="preserve">F4</x:t>
        </x:is>
      </x:c>
      <x:c r="N15" s="8">
        <x:f>SUMPRODUCT($B$12:$B$17,$E$23:$E$28)</x:f>
        <x:v>107453.5</x:v>
      </x:c>
      <x:c r="O15" s="57">
        <x:f>N15/$B$18</x:f>
        <x:v>373.7513043478261</x:v>
      </x:c>
      <x:c r="P15" s="57">
        <x:f>N15*$N$4</x:f>
        <x:v>6662.117</x:v>
      </x:c>
    </x:row>
    <x:row r="16">
      <x:c r="A16" s="3" t="inlineStr">
        <x:is>
          <x:t xml:space="preserve">Ankara</x:t>
        </x:is>
      </x:c>
      <x:c r="B16" s="8" t="n">
        <x:v>28.8</x:v>
      </x:c>
      <x:c r="C16" s="9">
        <x:f>B16*$B$8</x:f>
        <x:v>34.56</x:v>
      </x:c>
    </x:row>
    <x:row r="17">
      <x:c r="A17" s="3" t="inlineStr">
        <x:is>
          <x:t xml:space="preserve">Eskisehir</x:t>
        </x:is>
      </x:c>
      <x:c r="B17" s="8" t="n">
        <x:v>14.3</x:v>
      </x:c>
      <x:c r="C17" s="9">
        <x:f>B17*$B$8</x:f>
        <x:v>17.16</x:v>
      </x:c>
    </x:row>
    <x:row r="18">
      <x:c r="A18" s="14" t="inlineStr">
        <x:is>
          <x:t xml:space="preserve">Total</x:t>
        </x:is>
      </x:c>
      <x:c r="B18" s="68">
        <x:f>SUM(B12:B17)</x:f>
        <x:v>287.5</x:v>
      </x:c>
      <x:c r="C18" s="68">
        <x:f>SUM(C12:C17)</x:f>
        <x:v>345.00000000000006</x:v>
      </x:c>
      <x:c r="M18" s="37" t="inlineStr">
        <x:is>
          <x:t xml:space="preserve">Base Unit Variable Cost Matrix (βij = 0.1231 × dij)</x:t>
        </x:is>
      </x:c>
    </x:row>
    <x:row r="19">
      <x:c r="M19" s="6" t="inlineStr">
        <x:is>
          <x:t xml:space="preserve">City</x:t>
        </x:is>
      </x:c>
      <x:c r="N19" s="6" t="inlineStr">
        <x:is>
          <x:t xml:space="preserve">F1</x:t>
        </x:is>
      </x:c>
      <x:c r="O19" s="6" t="inlineStr">
        <x:is>
          <x:t xml:space="preserve">F2</x:t>
        </x:is>
      </x:c>
      <x:c r="P19" s="6" t="inlineStr">
        <x:is>
          <x:t xml:space="preserve">F3</x:t>
        </x:is>
      </x:c>
      <x:c r="Q19" s="6" t="inlineStr">
        <x:is>
          <x:t xml:space="preserve">F4</x:t>
        </x:is>
      </x:c>
    </x:row>
    <x:row r="20">
      <x:c r="M20" s="3" t="inlineStr">
        <x:is>
          <x:t xml:space="preserve">Istanbul</x:t>
        </x:is>
      </x:c>
      <x:c r="N20" s="58">
        <x:f>Inputs!B23*$N$7</x:f>
        <x:v>1.231</x:v>
      </x:c>
      <x:c r="O20" s="58">
        <x:f>Inputs!C23*$N$7</x:f>
        <x:v>10.4635</x:v>
      </x:c>
      <x:c r="P20" s="58">
        <x:f>Inputs!D23*$N$7</x:f>
        <x:v>34.468</x:v>
      </x:c>
      <x:c r="Q20" s="58">
        <x:f>Inputs!E23*$N$7</x:f>
        <x:v>55.395</x:v>
      </x:c>
    </x:row>
    <x:row r="21">
      <x:c r="A21" s="37" t="inlineStr">
        <x:is>
          <x:t xml:space="preserve">Distance Matrix (km)</x:t>
        </x:is>
      </x:c>
      <x:c r="G21" s="39" t="inlineStr">
        <x:is>
          <x:t xml:space="preserve">Base Unit Variable Cost Matrix (USD/ton)</x:t>
        </x:is>
      </x:c>
      <x:c r="M21" s="3" t="inlineStr">
        <x:is>
          <x:t xml:space="preserve">Kocaeli</x:t>
        </x:is>
      </x:c>
      <x:c r="N21" s="58">
        <x:f>Inputs!B24*$N$7</x:f>
        <x:v>10.4635</x:v>
      </x:c>
      <x:c r="O21" s="58">
        <x:f>Inputs!C24*$N$7</x:f>
        <x:v>1.231</x:v>
      </x:c>
      <x:c r="P21" s="58">
        <x:f>Inputs!D24*$N$7</x:f>
        <x:v>24.62</x:v>
      </x:c>
      <x:c r="Q21" s="58">
        <x:f>Inputs!E24*$N$7</x:f>
        <x:v>43.085</x:v>
      </x:c>
    </x:row>
    <x:row r="22">
      <x:c r="A22" s="6" t="inlineStr">
        <x:is>
          <x:t xml:space="preserve">City</x:t>
        </x:is>
      </x:c>
      <x:c r="B22" s="7" t="inlineStr">
        <x:is>
          <x:t xml:space="preserve">F1</x:t>
        </x:is>
      </x:c>
      <x:c r="C22" s="7" t="inlineStr">
        <x:is>
          <x:t xml:space="preserve">F2</x:t>
        </x:is>
      </x:c>
      <x:c r="D22" s="7" t="inlineStr">
        <x:is>
          <x:t xml:space="preserve">F3</x:t>
        </x:is>
      </x:c>
      <x:c r="E22" s="7" t="inlineStr">
        <x:is>
          <x:t xml:space="preserve">F4</x:t>
        </x:is>
      </x:c>
      <x:c r="G22" s="7" t="inlineStr">
        <x:is>
          <x:t xml:space="preserve">City</x:t>
        </x:is>
      </x:c>
      <x:c r="H22" s="7" t="inlineStr">
        <x:is>
          <x:t xml:space="preserve">F1</x:t>
        </x:is>
      </x:c>
      <x:c r="I22" s="7" t="inlineStr">
        <x:is>
          <x:t xml:space="preserve">F2</x:t>
        </x:is>
      </x:c>
      <x:c r="J22" s="7" t="inlineStr">
        <x:is>
          <x:t xml:space="preserve">F3</x:t>
        </x:is>
      </x:c>
      <x:c r="K22" s="7" t="inlineStr">
        <x:is>
          <x:t xml:space="preserve">F4</x:t>
        </x:is>
      </x:c>
      <x:c r="M22" s="3" t="inlineStr">
        <x:is>
          <x:t xml:space="preserve">Bursa</x:t>
        </x:is>
      </x:c>
      <x:c r="N22" s="58">
        <x:f>Inputs!B25*$N$7</x:f>
        <x:v>18.465</x:v>
      </x:c>
      <x:c r="O22" s="58">
        <x:f>Inputs!C25*$N$7</x:f>
        <x:v>16.003</x:v>
      </x:c>
      <x:c r="P22" s="58">
        <x:f>Inputs!D25*$N$7</x:f>
        <x:v>18.465</x:v>
      </x:c>
      <x:c r="Q22" s="58">
        <x:f>Inputs!E25*$N$7</x:f>
        <x:v>46.778</x:v>
      </x:c>
    </x:row>
    <x:row r="23">
      <x:c r="A23" s="3" t="inlineStr">
        <x:is>
          <x:t xml:space="preserve">Istanbul</x:t>
        </x:is>
      </x:c>
      <x:c r="B23" s="12" t="n">
        <x:v>10</x:v>
      </x:c>
      <x:c r="C23" s="12" t="n">
        <x:v>85</x:v>
      </x:c>
      <x:c r="D23" s="12" t="n">
        <x:v>280</x:v>
      </x:c>
      <x:c r="E23" s="12" t="n">
        <x:v>450</x:v>
      </x:c>
      <x:c r="G23" s="10" t="inlineStr">
        <x:is>
          <x:t xml:space="preserve">Istanbul</x:t>
        </x:is>
      </x:c>
      <x:c r="H23" s="69">
        <x:f>B23*$N$7</x:f>
        <x:v>1.231</x:v>
      </x:c>
      <x:c r="I23" s="69">
        <x:f>C23*$N$7</x:f>
        <x:v>10.4635</x:v>
      </x:c>
      <x:c r="J23" s="69">
        <x:f>D23*$N$7</x:f>
        <x:v>34.468</x:v>
      </x:c>
      <x:c r="K23" s="69">
        <x:f>E23*$N$7</x:f>
        <x:v>55.395</x:v>
      </x:c>
      <x:c r="M23" s="3" t="inlineStr">
        <x:is>
          <x:t xml:space="preserve">Izmir</x:t>
        </x:is>
      </x:c>
      <x:c r="N23" s="58">
        <x:f>Inputs!B26*$N$7</x:f>
        <x:v>59.088</x:v>
      </x:c>
      <x:c r="O23" s="58">
        <x:f>Inputs!C26*$N$7</x:f>
        <x:v>55.395</x:v>
      </x:c>
      <x:c r="P23" s="58">
        <x:f>Inputs!D26*$N$7</x:f>
        <x:v>50.471000000000004</x:v>
      </x:c>
      <x:c r="Q23" s="58">
        <x:f>Inputs!E26*$N$7</x:f>
        <x:v>72.629</x:v>
      </x:c>
    </x:row>
    <x:row r="24">
      <x:c r="A24" s="3" t="inlineStr">
        <x:is>
          <x:t xml:space="preserve">Kocaeli</x:t>
        </x:is>
      </x:c>
      <x:c r="B24" s="12" t="n">
        <x:v>85</x:v>
      </x:c>
      <x:c r="C24" s="12" t="n">
        <x:v>10</x:v>
      </x:c>
      <x:c r="D24" s="12" t="n">
        <x:v>200</x:v>
      </x:c>
      <x:c r="E24" s="12" t="n">
        <x:v>350</x:v>
      </x:c>
      <x:c r="G24" s="10" t="inlineStr">
        <x:is>
          <x:t xml:space="preserve">Kocaeli</x:t>
        </x:is>
      </x:c>
      <x:c r="H24" s="69">
        <x:f>B24*$N$7</x:f>
        <x:v>10.4635</x:v>
      </x:c>
      <x:c r="I24" s="69">
        <x:f>C24*$N$7</x:f>
        <x:v>1.231</x:v>
      </x:c>
      <x:c r="J24" s="69">
        <x:f>D24*$N$7</x:f>
        <x:v>24.62</x:v>
      </x:c>
      <x:c r="K24" s="69">
        <x:f>E24*$N$7</x:f>
        <x:v>43.085</x:v>
      </x:c>
      <x:c r="M24" s="3" t="inlineStr">
        <x:is>
          <x:t xml:space="preserve">Ankara</x:t>
        </x:is>
      </x:c>
      <x:c r="N24" s="58">
        <x:f>Inputs!B27*$N$7</x:f>
        <x:v>55.395</x:v>
      </x:c>
      <x:c r="O24" s="58">
        <x:f>Inputs!C27*$N$7</x:f>
        <x:v>43.085</x:v>
      </x:c>
      <x:c r="P24" s="58">
        <x:f>Inputs!D27*$N$7</x:f>
        <x:v>28.9285</x:v>
      </x:c>
      <x:c r="Q24" s="58">
        <x:f>Inputs!E27*$N$7</x:f>
        <x:v>1.231</x:v>
      </x:c>
    </x:row>
    <x:row r="25">
      <x:c r="A25" s="3" t="inlineStr">
        <x:is>
          <x:t xml:space="preserve">Bursa</x:t>
        </x:is>
      </x:c>
      <x:c r="B25" s="12" t="n">
        <x:v>150</x:v>
      </x:c>
      <x:c r="C25" s="12" t="n">
        <x:v>130</x:v>
      </x:c>
      <x:c r="D25" s="12" t="n">
        <x:v>150</x:v>
      </x:c>
      <x:c r="E25" s="12" t="n">
        <x:v>380</x:v>
      </x:c>
      <x:c r="G25" s="10" t="inlineStr">
        <x:is>
          <x:t xml:space="preserve">Bursa</x:t>
        </x:is>
      </x:c>
      <x:c r="H25" s="69">
        <x:f>B25*$N$7</x:f>
        <x:v>18.465</x:v>
      </x:c>
      <x:c r="I25" s="69">
        <x:f>C25*$N$7</x:f>
        <x:v>16.003</x:v>
      </x:c>
      <x:c r="J25" s="69">
        <x:f>D25*$N$7</x:f>
        <x:v>18.465</x:v>
      </x:c>
      <x:c r="K25" s="69">
        <x:f>E25*$N$7</x:f>
        <x:v>46.778</x:v>
      </x:c>
      <x:c r="M25" s="3" t="inlineStr">
        <x:is>
          <x:t xml:space="preserve">Eskisehir</x:t>
        </x:is>
      </x:c>
      <x:c r="N25" s="58">
        <x:f>Inputs!B28*$N$7</x:f>
        <x:v>34.468</x:v>
      </x:c>
      <x:c r="O25" s="58">
        <x:f>Inputs!C28*$N$7</x:f>
        <x:v>24.62</x:v>
      </x:c>
      <x:c r="P25" s="58">
        <x:f>Inputs!D28*$N$7</x:f>
        <x:v>1.231</x:v>
      </x:c>
      <x:c r="Q25" s="58">
        <x:f>Inputs!E28*$N$7</x:f>
        <x:v>28.9285</x:v>
      </x:c>
    </x:row>
    <x:row r="26">
      <x:c r="A26" s="3" t="inlineStr">
        <x:is>
          <x:t xml:space="preserve">Izmir</x:t>
        </x:is>
      </x:c>
      <x:c r="B26" s="12" t="n">
        <x:v>480</x:v>
      </x:c>
      <x:c r="C26" s="12" t="n">
        <x:v>450</x:v>
      </x:c>
      <x:c r="D26" s="12" t="n">
        <x:v>410</x:v>
      </x:c>
      <x:c r="E26" s="12" t="n">
        <x:v>590</x:v>
      </x:c>
      <x:c r="G26" s="10" t="inlineStr">
        <x:is>
          <x:t xml:space="preserve">Izmir</x:t>
        </x:is>
      </x:c>
      <x:c r="H26" s="69">
        <x:f>B26*$N$7</x:f>
        <x:v>59.088</x:v>
      </x:c>
      <x:c r="I26" s="69">
        <x:f>C26*$N$7</x:f>
        <x:v>55.395</x:v>
      </x:c>
      <x:c r="J26" s="69">
        <x:f>D26*$N$7</x:f>
        <x:v>50.471000000000004</x:v>
      </x:c>
      <x:c r="K26" s="69">
        <x:f>E26*$N$7</x:f>
        <x:v>72.629</x:v>
      </x:c>
    </x:row>
    <x:row r="27">
      <x:c r="A27" s="3" t="inlineStr">
        <x:is>
          <x:t xml:space="preserve">Ankara</x:t>
        </x:is>
      </x:c>
      <x:c r="B27" s="12" t="n">
        <x:v>450</x:v>
      </x:c>
      <x:c r="C27" s="12" t="n">
        <x:v>350</x:v>
      </x:c>
      <x:c r="D27" s="12" t="n">
        <x:v>235</x:v>
      </x:c>
      <x:c r="E27" s="12" t="n">
        <x:v>10</x:v>
      </x:c>
      <x:c r="G27" s="10" t="inlineStr">
        <x:is>
          <x:t xml:space="preserve">Ankara</x:t>
        </x:is>
      </x:c>
      <x:c r="H27" s="69">
        <x:f>B27*$N$7</x:f>
        <x:v>55.395</x:v>
      </x:c>
      <x:c r="I27" s="69">
        <x:f>C27*$N$7</x:f>
        <x:v>43.085</x:v>
      </x:c>
      <x:c r="J27" s="69">
        <x:f>D27*$N$7</x:f>
        <x:v>28.9285</x:v>
      </x:c>
      <x:c r="K27" s="69">
        <x:f>E27*$N$7</x:f>
        <x:v>1.231</x:v>
      </x:c>
    </x:row>
    <x:row r="28">
      <x:c r="A28" s="3" t="inlineStr">
        <x:is>
          <x:t xml:space="preserve">Eskisehir</x:t>
        </x:is>
      </x:c>
      <x:c r="B28" s="12" t="n">
        <x:v>280</x:v>
      </x:c>
      <x:c r="C28" s="12" t="n">
        <x:v>200</x:v>
      </x:c>
      <x:c r="D28" s="12" t="n">
        <x:v>10</x:v>
      </x:c>
      <x:c r="E28" s="12" t="n">
        <x:v>235</x:v>
      </x:c>
      <x:c r="G28" s="10" t="inlineStr">
        <x:is>
          <x:t xml:space="preserve">Eskisehir</x:t>
        </x:is>
      </x:c>
      <x:c r="H28" s="69">
        <x:f>B28*$N$7</x:f>
        <x:v>34.468</x:v>
      </x:c>
      <x:c r="I28" s="69">
        <x:f>C28*$N$7</x:f>
        <x:v>24.62</x:v>
      </x:c>
      <x:c r="J28" s="69">
        <x:f>D28*$N$7</x:f>
        <x:v>1.231</x:v>
      </x:c>
      <x:c r="K28" s="69">
        <x:f>E28*$N$7</x:f>
        <x:v>28.9285</x:v>
      </x:c>
    </x:row>
  </x:sheetData>
  <x:mergeCells>
    <x:mergeCell ref="A10:C10"/>
    <x:mergeCell ref="A21:E21"/>
    <x:mergeCell ref="G21:K21"/>
    <x:mergeCell ref="A3:D3"/>
    <x:mergeCell ref="E10:H10"/>
  </x:mergeCells>
  <x:pageMargins left="0.7" right="0.7" top="0.75" bottom="0.75" header="0.3" footer="0.3"/>
  <x:legacyDrawing xmlns:r="http://schemas.openxmlformats.org/officeDocument/2006/relationships" r:id="Rc5934d3bb46b407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8" customWidth="1"/>
    <x:col min="2" max="2" width="14" style="38" customWidth="1"/>
    <x:col min="3" max="3" width="14" style="38" customWidth="1"/>
    <x:col min="4" max="4" width="22" style="38" customWidth="1"/>
    <x:col min="5" max="5" width="24" style="38" customWidth="1"/>
    <x:col min="6" max="6" width="12" style="38" customWidth="1"/>
    <x:col min="7" max="7" width="12" style="38" customWidth="1"/>
    <x:col min="8" max="8" width="12" style="38" customWidth="1"/>
  </x:cols>
  <x:sheetData>
    <x:row r="1">
      <x:c r="A1" s="50" t="inlineStr">
        <x:is>
          <x:t xml:space="preserve">AHP Analysis</x:t>
        </x:is>
      </x:c>
    </x:row>
    <x:row r="3">
      <x:c r="A3" s="37" t="inlineStr">
        <x:is>
          <x:t xml:space="preserve">Pairwise Comparison Matrix</x:t>
        </x:is>
      </x:c>
    </x:row>
    <x:row r="4">
      <x:c r="B4" s="6" t="inlineStr">
        <x:is>
          <x:t xml:space="preserve">C1 Cost</x:t>
        </x:is>
      </x:c>
      <x:c r="C4" s="6" t="inlineStr">
        <x:is>
          <x:t xml:space="preserve">C2 Environment</x:t>
        </x:is>
      </x:c>
      <x:c r="D4" s="6" t="inlineStr">
        <x:is>
          <x:t xml:space="preserve">C3 Capacity</x:t>
        </x:is>
      </x:c>
      <x:c r="E4" s="6" t="inlineStr">
        <x:is>
          <x:t xml:space="preserve">C4 Transportation</x:t>
        </x:is>
      </x:c>
    </x:row>
    <x:row r="5">
      <x:c r="A5" s="6" t="inlineStr">
        <x:is>
          <x:t xml:space="preserve">C1 Cost</x:t>
        </x:is>
      </x:c>
      <x:c r="B5" s="57" t="n">
        <x:v>1</x:v>
      </x:c>
      <x:c r="C5" s="57" t="n">
        <x:v>1.863436123348017</x:v>
      </x:c>
      <x:c r="D5" s="57" t="n">
        <x:v>3.467213114754098</x:v>
      </x:c>
      <x:c r="E5" s="57" t="n">
        <x:v>1.863436123348017</x:v>
      </x:c>
    </x:row>
    <x:row r="6">
      <x:c r="A6" s="6" t="inlineStr">
        <x:is>
          <x:t xml:space="preserve">C2 Environment</x:t>
        </x:is>
      </x:c>
      <x:c r="B6" s="57" t="n">
        <x:v>0.5366430260047281</x:v>
      </x:c>
      <x:c r="C6" s="57" t="n">
        <x:v>1</x:v>
      </x:c>
      <x:c r="D6" s="57" t="n">
        <x:v>1.860655737704918</x:v>
      </x:c>
      <x:c r="E6" s="57" t="n">
        <x:v>1</x:v>
      </x:c>
    </x:row>
    <x:row r="7">
      <x:c r="A7" s="6" t="inlineStr">
        <x:is>
          <x:t xml:space="preserve">C3 Capacity</x:t>
        </x:is>
      </x:c>
      <x:c r="B7" s="57" t="n">
        <x:v>0.2884160756501182</x:v>
      </x:c>
      <x:c r="C7" s="57" t="n">
        <x:v>0.5374449339207048</x:v>
      </x:c>
      <x:c r="D7" s="57" t="n">
        <x:v>1</x:v>
      </x:c>
      <x:c r="E7" s="57" t="n">
        <x:v>0.5374449339207048</x:v>
      </x:c>
    </x:row>
    <x:row r="8">
      <x:c r="A8" s="6" t="inlineStr">
        <x:is>
          <x:t xml:space="preserve">C4 Transportation</x:t>
        </x:is>
      </x:c>
      <x:c r="B8" s="57" t="n">
        <x:v>0.5366430260047281</x:v>
      </x:c>
      <x:c r="C8" s="57" t="n">
        <x:v>1</x:v>
      </x:c>
      <x:c r="D8" s="57" t="n">
        <x:v>1.860655737704918</x:v>
      </x:c>
      <x:c r="E8" s="57" t="n">
        <x:v>1</x:v>
      </x:c>
    </x:row>
    <x:row r="10">
      <x:c r="A10" s="37" t="inlineStr">
        <x:is>
          <x:t xml:space="preserve">Column Sums</x:t>
        </x:is>
      </x:c>
      <x:c r="B10" s="57">
        <x:f>SUM(B5:B8)</x:f>
        <x:v>2.3617021276595747</x:v>
      </x:c>
      <x:c r="C10" s="57">
        <x:f>SUM(C5:C8)</x:f>
        <x:v>4.400881057268722</x:v>
      </x:c>
      <x:c r="D10" s="57">
        <x:f>SUM(D5:D8)</x:f>
        <x:v>8.188524590163933</x:v>
      </x:c>
      <x:c r="E10" s="57">
        <x:f>SUM(E5:E8)</x:f>
        <x:v>4.400881057268722</x:v>
      </x:c>
    </x:row>
    <x:row r="12">
      <x:c r="A12" s="37" t="inlineStr">
        <x:is>
          <x:t xml:space="preserve">Normalized Matrix and Weights</x:t>
        </x:is>
      </x:c>
    </x:row>
    <x:row r="13">
      <x:c r="B13" s="6" t="inlineStr">
        <x:is>
          <x:t xml:space="preserve">C1 Cost</x:t>
        </x:is>
      </x:c>
      <x:c r="C13" s="6" t="inlineStr">
        <x:is>
          <x:t xml:space="preserve">C2 Environment</x:t>
        </x:is>
      </x:c>
      <x:c r="D13" s="6" t="inlineStr">
        <x:is>
          <x:t xml:space="preserve">C3 Capacity</x:t>
        </x:is>
      </x:c>
      <x:c r="E13" s="6" t="inlineStr">
        <x:is>
          <x:t xml:space="preserve">C4 Transportation</x:t>
        </x:is>
      </x:c>
      <x:c r="F13" s="6" t="inlineStr">
        <x:is>
          <x:t xml:space="preserve">Weight</x:t>
        </x:is>
      </x:c>
      <x:c r="G13" s="6" t="inlineStr">
        <x:is>
          <x:t xml:space="preserve">AW</x:t>
        </x:is>
      </x:c>
      <x:c r="H13" s="6" t="inlineStr">
        <x:is>
          <x:t xml:space="preserve">λi</x:t>
        </x:is>
      </x:c>
    </x:row>
    <x:row r="14">
      <x:c r="A14" s="6" t="inlineStr">
        <x:is>
          <x:t xml:space="preserve">C1 Cost</x:t>
        </x:is>
      </x:c>
      <x:c r="B14" s="57">
        <x:f>B5/B$10</x:f>
        <x:v>0.4234234234234234</x:v>
      </x:c>
      <x:c r="C14" s="57">
        <x:f>C5/C$10</x:f>
        <x:v>0.4234234234234233</x:v>
      </x:c>
      <x:c r="D14" s="57">
        <x:f>D5/D$10</x:f>
        <x:v>0.42342342342342343</x:v>
      </x:c>
      <x:c r="E14" s="57">
        <x:f>E5/E$10</x:f>
        <x:v>0.4234234234234233</x:v>
      </x:c>
      <x:c r="F14" s="57">
        <x:f>AVERAGE(B14:E14)</x:f>
        <x:v>0.4234234234234234</x:v>
      </x:c>
      <x:c r="G14" s="57">
        <x:f>B5*$F$14+C5*$F$15+D5*$F$16+E5*$F$17</x:f>
        <x:v>1.6936936936936933</x:v>
      </x:c>
      <x:c r="H14" s="57">
        <x:f>G14/F14</x:f>
        <x:v>3.9999999999999996</x:v>
      </x:c>
    </x:row>
    <x:row r="15">
      <x:c r="A15" s="6" t="inlineStr">
        <x:is>
          <x:t xml:space="preserve">C2 Environment</x:t>
        </x:is>
      </x:c>
      <x:c r="B15" s="57">
        <x:f>B6/B$10</x:f>
        <x:v>0.2272272272272272</x:v>
      </x:c>
      <x:c r="C15" s="57">
        <x:f>C6/C$10</x:f>
        <x:v>0.22722722722722724</x:v>
      </x:c>
      <x:c r="D15" s="57">
        <x:f>D6/D$10</x:f>
        <x:v>0.22722722722722727</x:v>
      </x:c>
      <x:c r="E15" s="57">
        <x:f>E6/E$10</x:f>
        <x:v>0.22722722722722724</x:v>
      </x:c>
      <x:c r="F15" s="57">
        <x:f>AVERAGE(B15:E15)</x:f>
        <x:v>0.22722722722722724</x:v>
      </x:c>
      <x:c r="G15" s="57">
        <x:f>B6*$F$14+C6*$F$15+D6*$F$16+E6*$F$17</x:f>
        <x:v>0.9089089089089089</x:v>
      </x:c>
      <x:c r="H15" s="57">
        <x:f>G15/F15</x:f>
        <x:v>3.9999999999999996</x:v>
      </x:c>
    </x:row>
    <x:row r="16">
      <x:c r="A16" s="6" t="inlineStr">
        <x:is>
          <x:t xml:space="preserve">C3 Capacity</x:t>
        </x:is>
      </x:c>
      <x:c r="B16" s="57">
        <x:f>B7/B$10</x:f>
        <x:v>0.1221221221221221</x:v>
      </x:c>
      <x:c r="C16" s="57">
        <x:f>C7/C$10</x:f>
        <x:v>0.12212212212212212</x:v>
      </x:c>
      <x:c r="D16" s="57">
        <x:f>D7/D$10</x:f>
        <x:v>0.12212212212212215</x:v>
      </x:c>
      <x:c r="E16" s="57">
        <x:f>E7/E$10</x:f>
        <x:v>0.12212212212212212</x:v>
      </x:c>
      <x:c r="F16" s="57">
        <x:f>AVERAGE(B16:E16)</x:f>
        <x:v>0.12212212212212212</x:v>
      </x:c>
      <x:c r="G16" s="57">
        <x:f>B7*$F$14+C7*$F$15+D7*$F$16+E7*$F$17</x:f>
        <x:v>0.48848848848848847</x:v>
      </x:c>
      <x:c r="H16" s="57">
        <x:f>G16/F16</x:f>
        <x:v>4</x:v>
      </x:c>
    </x:row>
    <x:row r="17">
      <x:c r="A17" s="6" t="inlineStr">
        <x:is>
          <x:t xml:space="preserve">C4 Transportation</x:t>
        </x:is>
      </x:c>
      <x:c r="B17" s="57">
        <x:f>B8/B$10</x:f>
        <x:v>0.2272272272272272</x:v>
      </x:c>
      <x:c r="C17" s="57">
        <x:f>C8/C$10</x:f>
        <x:v>0.22722722722722724</x:v>
      </x:c>
      <x:c r="D17" s="57">
        <x:f>D8/D$10</x:f>
        <x:v>0.22722722722722727</x:v>
      </x:c>
      <x:c r="E17" s="57">
        <x:f>E8/E$10</x:f>
        <x:v>0.22722722722722724</x:v>
      </x:c>
      <x:c r="F17" s="57">
        <x:f>AVERAGE(B17:E17)</x:f>
        <x:v>0.22722722722722724</x:v>
      </x:c>
      <x:c r="G17" s="57">
        <x:f>B8*$F$14+C8*$F$15+D8*$F$16+E8*$F$17</x:f>
        <x:v>0.9089089089089089</x:v>
      </x:c>
      <x:c r="H17" s="57">
        <x:f>G17/F17</x:f>
        <x:v>3.9999999999999996</x:v>
      </x:c>
    </x:row>
    <x:row r="20">
      <x:c r="A20" s="37" t="inlineStr">
        <x:is>
          <x:t xml:space="preserve">Consistency Check</x:t>
        </x:is>
      </x:c>
      <x:c r="D20" s="37" t="inlineStr">
        <x:is>
          <x:t xml:space="preserve">Weights Summary</x:t>
        </x:is>
      </x:c>
    </x:row>
    <x:row r="21">
      <x:c r="A21" s="3" t="inlineStr">
        <x:is>
          <x:t xml:space="preserve">Lambda max</x:t>
        </x:is>
      </x:c>
      <x:c r="B21" s="57">
        <x:f>AVERAGE(H14:H17)</x:f>
        <x:v>4</x:v>
      </x:c>
      <x:c r="D21" s="6" t="inlineStr">
        <x:is>
          <x:t xml:space="preserve">Criterion</x:t>
        </x:is>
      </x:c>
      <x:c r="E21" s="6" t="inlineStr">
        <x:is>
          <x:t xml:space="preserve">Weight</x:t>
        </x:is>
      </x:c>
      <x:c r="F21" s="6" t="inlineStr">
        <x:is>
          <x:t xml:space="preserve">Percentage</x:t>
        </x:is>
      </x:c>
    </x:row>
    <x:row r="22">
      <x:c r="A22" s="3" t="inlineStr">
        <x:is>
          <x:t xml:space="preserve">CI</x:t>
        </x:is>
      </x:c>
      <x:c r="B22" s="57">
        <x:f>(B21-4)/3</x:f>
        <x:v>0</x:v>
      </x:c>
      <x:c r="D22" s="3" t="inlineStr">
        <x:is>
          <x:t xml:space="preserve">C1 Cost</x:t>
        </x:is>
      </x:c>
      <x:c r="E22" s="57">
        <x:f>F14</x:f>
        <x:v>0.4234234234234234</x:v>
      </x:c>
      <x:c r="F22" s="60">
        <x:f>E22</x:f>
        <x:v>0.4234234234234234</x:v>
      </x:c>
    </x:row>
    <x:row r="23">
      <x:c r="A23" s="3" t="inlineStr">
        <x:is>
          <x:t xml:space="preserve">RI</x:t>
        </x:is>
      </x:c>
      <x:c r="B23" s="57" t="n">
        <x:v>0.9</x:v>
      </x:c>
      <x:c r="D23" s="3" t="inlineStr">
        <x:is>
          <x:t xml:space="preserve">C2 Environment</x:t>
        </x:is>
      </x:c>
      <x:c r="E23" s="57">
        <x:f>F15</x:f>
        <x:v>0.22722722722722724</x:v>
      </x:c>
      <x:c r="F23" s="60">
        <x:f>E23</x:f>
        <x:v>0.22722722722722724</x:v>
      </x:c>
    </x:row>
    <x:row r="24">
      <x:c r="A24" s="3" t="inlineStr">
        <x:is>
          <x:t xml:space="preserve">CR</x:t>
        </x:is>
      </x:c>
      <x:c r="B24" s="57">
        <x:f>B22/B23</x:f>
        <x:v>0</x:v>
      </x:c>
      <x:c r="D24" s="3" t="inlineStr">
        <x:is>
          <x:t xml:space="preserve">C3 Capacity</x:t>
        </x:is>
      </x:c>
      <x:c r="E24" s="57">
        <x:f>F16</x:f>
        <x:v>0.12212212212212212</x:v>
      </x:c>
      <x:c r="F24" s="60">
        <x:f>E24</x:f>
        <x:v>0.12212212212212212</x:v>
      </x:c>
    </x:row>
    <x:row r="25">
      <x:c r="D25" s="3" t="inlineStr">
        <x:is>
          <x:t xml:space="preserve">C4 Transportation</x:t>
        </x:is>
      </x:c>
      <x:c r="E25" s="57">
        <x:f>F17</x:f>
        <x:v>0.22722722722722724</x:v>
      </x:c>
      <x:c r="F25" s="60">
        <x:f>E25</x:f>
        <x:v>0.22722722722722724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38" customWidth="1"/>
    <x:col min="2" max="2" width="18" style="38" customWidth="1"/>
    <x:col min="3" max="3" width="18" style="38" customWidth="1"/>
    <x:col min="4" max="4" width="16" style="38" customWidth="1"/>
    <x:col min="5" max="5" width="18" style="38" customWidth="1"/>
    <x:col min="6" max="6" width="4" style="38" customWidth="1"/>
    <x:col min="7" max="7" width="16" style="38" customWidth="1"/>
    <x:col min="8" max="8" width="14" style="38" customWidth="1"/>
    <x:col min="9" max="9" width="12" style="38" customWidth="1"/>
  </x:cols>
  <x:sheetData>
    <x:row r="1">
      <x:c r="A1" s="50" t="inlineStr">
        <x:is>
          <x:t xml:space="preserve">TOPSIS Analysis</x:t>
        </x:is>
      </x:c>
    </x:row>
    <x:row r="3">
      <x:c r="A3" s="37" t="inlineStr">
        <x:is>
          <x:t xml:space="preserve">Decision Matrix</x:t>
        </x:is>
      </x:c>
      <x:c r="G3" s="37" t="inlineStr">
        <x:is>
          <x:t xml:space="preserve">Final Ranking</x:t>
        </x:is>
      </x:c>
    </x:row>
    <x:row r="4">
      <x:c r="A4" s="6" t="inlineStr">
        <x:is>
          <x:t xml:space="preserve">Alternative</x:t>
        </x:is>
      </x:c>
      <x:c r="B4" s="6" t="inlineStr">
        <x:is>
          <x:t xml:space="preserve">C1 Annual Cost</x:t>
        </x:is>
      </x:c>
      <x:c r="C4" s="6" t="inlineStr">
        <x:is>
          <x:t xml:space="preserve">C2 Environment</x:t>
        </x:is>
      </x:c>
      <x:c r="D4" s="6" t="inlineStr">
        <x:is>
          <x:t xml:space="preserve">C3 Capacity</x:t>
        </x:is>
      </x:c>
      <x:c r="E4" s="6" t="inlineStr">
        <x:is>
          <x:t xml:space="preserve">C4 Transportation</x:t>
        </x:is>
      </x:c>
      <x:c r="G4" s="6" t="inlineStr">
        <x:is>
          <x:t xml:space="preserve">Alternative</x:t>
        </x:is>
      </x:c>
      <x:c r="H4" s="6" t="inlineStr">
        <x:is>
          <x:t xml:space="preserve">TOPSIS Score</x:t>
        </x:is>
      </x:c>
    </x:row>
    <x:row r="5">
      <x:c r="A5" s="3" t="inlineStr">
        <x:is>
          <x:t xml:space="preserve">F1</x:t>
        </x:is>
      </x:c>
      <x:c r="B5" s="57" t="n">
        <x:v>5000</x:v>
      </x:c>
      <x:c r="C5" s="57" t="n">
        <x:v>4</x:v>
      </x:c>
      <x:c r="D5" s="12" t="n">
        <x:v>200</x:v>
      </x:c>
      <x:c r="E5" s="57" t="n">
        <x:v>9</x:v>
      </x:c>
      <x:c r="G5" s="3" t="str">
        <x:f>INDEX($A$34:$A$37,MATCH(1,$E$34:$E$37,0))</x:f>
        <x:v>F3</x:v>
      </x:c>
      <x:c r="H5" s="57">
        <x:f>INDEX($D$34:$D$37,MATCH(1,$E$34:$E$37,0))</x:f>
        <x:v>0.7696330460516378</x:v>
      </x:c>
    </x:row>
    <x:row r="6">
      <x:c r="A6" s="3" t="inlineStr">
        <x:is>
          <x:t xml:space="preserve">F2</x:t>
        </x:is>
      </x:c>
      <x:c r="B6" s="57" t="n">
        <x:v>4000</x:v>
      </x:c>
      <x:c r="C6" s="57" t="n">
        <x:v>5</x:v>
      </x:c>
      <x:c r="D6" s="12" t="n">
        <x:v>150</x:v>
      </x:c>
      <x:c r="E6" s="57" t="n">
        <x:v>8</x:v>
      </x:c>
      <x:c r="G6" s="3" t="str">
        <x:f>INDEX($A$34:$A$37,MATCH(2,$E$34:$E$37,0))</x:f>
        <x:v>F4</x:v>
      </x:c>
      <x:c r="H6" s="57">
        <x:f>INDEX($D$34:$D$37,MATCH(2,$E$34:$E$37,0))</x:f>
        <x:v>0.6277708365899154</x:v>
      </x:c>
    </x:row>
    <x:row r="7">
      <x:c r="A7" s="3" t="inlineStr">
        <x:is>
          <x:t xml:space="preserve">F3</x:t>
        </x:is>
      </x:c>
      <x:c r="B7" s="57" t="n">
        <x:v>2500</x:v>
      </x:c>
      <x:c r="C7" s="57" t="n">
        <x:v>9</x:v>
      </x:c>
      <x:c r="D7" s="12" t="n">
        <x:v>100</x:v>
      </x:c>
      <x:c r="E7" s="57" t="n">
        <x:v>7</x:v>
      </x:c>
      <x:c r="G7" s="3" t="str">
        <x:f>INDEX($A$34:$A$37,MATCH(3,$E$34:$E$37,0))</x:f>
        <x:v>F2</x:v>
      </x:c>
      <x:c r="H7" s="57">
        <x:f>INDEX($D$34:$D$37,MATCH(3,$E$34:$E$37,0))</x:f>
        <x:v>0.36057878889186123</x:v>
      </x:c>
    </x:row>
    <x:row r="8">
      <x:c r="A8" s="3" t="inlineStr">
        <x:is>
          <x:t xml:space="preserve">F4</x:t>
        </x:is>
      </x:c>
      <x:c r="B8" s="57" t="n">
        <x:v>3000</x:v>
      </x:c>
      <x:c r="C8" s="57" t="n">
        <x:v>6</x:v>
      </x:c>
      <x:c r="D8" s="12" t="n">
        <x:v>120</x:v>
      </x:c>
      <x:c r="E8" s="57" t="n">
        <x:v>8</x:v>
      </x:c>
      <x:c r="G8" s="3" t="str">
        <x:f>INDEX($A$34:$A$37,MATCH(4,$E$34:$E$37,0))</x:f>
        <x:v>F1</x:v>
      </x:c>
      <x:c r="H8" s="57">
        <x:f>INDEX($D$34:$D$37,MATCH(4,$E$34:$E$37,0))</x:f>
        <x:v>0.23036695394836218</x:v>
      </x:c>
    </x:row>
    <x:row r="10">
      <x:c r="A10" s="37" t="inlineStr">
        <x:is>
          <x:t xml:space="preserve">Normalization Denominator</x:t>
        </x:is>
      </x:c>
      <x:c r="B10" s="6" t="inlineStr">
        <x:is>
          <x:t xml:space="preserve">C1</x:t>
        </x:is>
      </x:c>
      <x:c r="C10" s="6" t="inlineStr">
        <x:is>
          <x:t xml:space="preserve">C2</x:t>
        </x:is>
      </x:c>
      <x:c r="D10" s="6" t="inlineStr">
        <x:is>
          <x:t xml:space="preserve">C3</x:t>
        </x:is>
      </x:c>
      <x:c r="E10" s="6" t="inlineStr">
        <x:is>
          <x:t xml:space="preserve">C4</x:t>
        </x:is>
      </x:c>
    </x:row>
    <x:row r="11">
      <x:c r="B11" s="57">
        <x:f>SQRT(SUMSQ(B5:B8))</x:f>
        <x:v>7500</x:v>
      </x:c>
      <x:c r="C11" s="57">
        <x:f>SQRT(SUMSQ(C5:C8))</x:f>
        <x:v>12.569805089976535</x:v>
      </x:c>
      <x:c r="D11" s="57">
        <x:f>SQRT(SUMSQ(D5:D8))</x:f>
        <x:v>294.7880594596735</x:v>
      </x:c>
      <x:c r="E11" s="57">
        <x:f>SQRT(SUMSQ(E5:E8))</x:f>
        <x:v>16.06237840420901</x:v>
      </x:c>
    </x:row>
    <x:row r="13">
      <x:c r="A13" s="37" t="inlineStr">
        <x:is>
          <x:t xml:space="preserve">Normalized Matrix</x:t>
        </x:is>
      </x:c>
    </x:row>
    <x:row r="14">
      <x:c r="A14" s="6" t="inlineStr">
        <x:is>
          <x:t xml:space="preserve">Alternative</x:t>
        </x:is>
      </x:c>
      <x:c r="B14" s="6" t="inlineStr">
        <x:is>
          <x:t xml:space="preserve">C1</x:t>
        </x:is>
      </x:c>
      <x:c r="C14" s="6" t="inlineStr">
        <x:is>
          <x:t xml:space="preserve">C2</x:t>
        </x:is>
      </x:c>
      <x:c r="D14" s="6" t="inlineStr">
        <x:is>
          <x:t xml:space="preserve">C3</x:t>
        </x:is>
      </x:c>
      <x:c r="E14" s="6" t="inlineStr">
        <x:is>
          <x:t xml:space="preserve">C4</x:t>
        </x:is>
      </x:c>
    </x:row>
    <x:row r="15">
      <x:c r="A15" s="3" t="str">
        <x:f>A5</x:f>
        <x:v>F1</x:v>
      </x:c>
      <x:c r="B15" s="57">
        <x:f>B5/B$11</x:f>
        <x:v>0.6666666666666666</x:v>
      </x:c>
      <x:c r="C15" s="57">
        <x:f>C5/C$11</x:f>
        <x:v>0.318222913670292</x:v>
      </x:c>
      <x:c r="D15" s="57">
        <x:f>D5/D$11</x:f>
        <x:v>0.6784535315527583</x:v>
      </x:c>
      <x:c r="E15" s="57">
        <x:f>E5/E$11</x:f>
        <x:v>0.5603155257282213</x:v>
      </x:c>
    </x:row>
    <x:row r="16">
      <x:c r="A16" s="3" t="str">
        <x:f>A6</x:f>
        <x:v>F2</x:v>
      </x:c>
      <x:c r="B16" s="57">
        <x:f>B6/B$11</x:f>
        <x:v>0.5333333333333333</x:v>
      </x:c>
      <x:c r="C16" s="57">
        <x:f>C6/C$11</x:f>
        <x:v>0.397778642087865</x:v>
      </x:c>
      <x:c r="D16" s="57">
        <x:f>D6/D$11</x:f>
        <x:v>0.5088401486645687</x:v>
      </x:c>
      <x:c r="E16" s="57">
        <x:f>E6/E$11</x:f>
        <x:v>0.4980582450917523</x:v>
      </x:c>
    </x:row>
    <x:row r="17">
      <x:c r="A17" s="3" t="str">
        <x:f>A7</x:f>
        <x:v>F3</x:v>
      </x:c>
      <x:c r="B17" s="57">
        <x:f>B7/B$11</x:f>
        <x:v>0.3333333333333333</x:v>
      </x:c>
      <x:c r="C17" s="57">
        <x:f>C7/C$11</x:f>
        <x:v>0.716001555758157</x:v>
      </x:c>
      <x:c r="D17" s="57">
        <x:f>D7/D$11</x:f>
        <x:v>0.33922676577637917</x:v>
      </x:c>
      <x:c r="E17" s="57">
        <x:f>E7/E$11</x:f>
        <x:v>0.43580096445528327</x:v>
      </x:c>
    </x:row>
    <x:row r="18">
      <x:c r="A18" s="3" t="str">
        <x:f>A8</x:f>
        <x:v>F4</x:v>
      </x:c>
      <x:c r="B18" s="57">
        <x:f>B8/B$11</x:f>
        <x:v>0.4</x:v>
      </x:c>
      <x:c r="C18" s="57">
        <x:f>C8/C$11</x:f>
        <x:v>0.47733437050543803</x:v>
      </x:c>
      <x:c r="D18" s="57">
        <x:f>D8/D$11</x:f>
        <x:v>0.407072118931655</x:v>
      </x:c>
      <x:c r="E18" s="57">
        <x:f>E8/E$11</x:f>
        <x:v>0.4980582450917523</x:v>
      </x:c>
    </x:row>
    <x:row r="20">
      <x:c r="A20" s="37" t="inlineStr">
        <x:is>
          <x:t xml:space="preserve">Weighted Normalized Matrix</x:t>
        </x:is>
      </x:c>
    </x:row>
    <x:row r="21">
      <x:c r="A21" s="6" t="inlineStr">
        <x:is>
          <x:t xml:space="preserve">Alternative</x:t>
        </x:is>
      </x:c>
      <x:c r="B21" s="6" t="inlineStr">
        <x:is>
          <x:t xml:space="preserve">C1</x:t>
        </x:is>
      </x:c>
      <x:c r="C21" s="6" t="inlineStr">
        <x:is>
          <x:t xml:space="preserve">C2</x:t>
        </x:is>
      </x:c>
      <x:c r="D21" s="6" t="inlineStr">
        <x:is>
          <x:t xml:space="preserve">C3</x:t>
        </x:is>
      </x:c>
      <x:c r="E21" s="6" t="inlineStr">
        <x:is>
          <x:t xml:space="preserve">C4</x:t>
        </x:is>
      </x:c>
    </x:row>
    <x:row r="22">
      <x:c r="A22" s="3" t="str">
        <x:f>A15</x:f>
        <x:v>F1</x:v>
      </x:c>
      <x:c r="B22" s="57">
        <x:f>B15*AHP!$E$22</x:f>
        <x:v>0.28228228228228225</x:v>
      </x:c>
      <x:c r="C22" s="57">
        <x:f>C15*AHP!$E$23</x:f>
        <x:v>0.07230891031346975</x:v>
      </x:c>
      <x:c r="D22" s="57">
        <x:f>D15*AHP!$E$24</x:f>
        <x:v>0.08285418503447098</x:v>
      </x:c>
      <x:c r="E22" s="57">
        <x:f>E15*AHP!$E$25</x:f>
        <x:v>0.12731894328358984</x:v>
      </x:c>
    </x:row>
    <x:row r="23">
      <x:c r="A23" s="3" t="str">
        <x:f>A16</x:f>
        <x:v>F2</x:v>
      </x:c>
      <x:c r="B23" s="57">
        <x:f>B16*AHP!$E$22</x:f>
        <x:v>0.2258258258258258</x:v>
      </x:c>
      <x:c r="C23" s="57">
        <x:f>C16*AHP!$E$23</x:f>
        <x:v>0.09038613789183719</x:v>
      </x:c>
      <x:c r="D23" s="57">
        <x:f>D16*AHP!$E$24</x:f>
        <x:v>0.062140638775853234</x:v>
      </x:c>
      <x:c r="E23" s="57">
        <x:f>E16*AHP!$E$25</x:f>
        <x:v>0.11317239402985763</x:v>
      </x:c>
    </x:row>
    <x:row r="24">
      <x:c r="A24" s="3" t="str">
        <x:f>A17</x:f>
        <x:v>F3</x:v>
      </x:c>
      <x:c r="B24" s="57">
        <x:f>B17*AHP!$E$22</x:f>
        <x:v>0.14114114114114112</x:v>
      </x:c>
      <x:c r="C24" s="57">
        <x:f>C17*AHP!$E$23</x:f>
        <x:v>0.16269504820530697</x:v>
      </x:c>
      <x:c r="D24" s="57">
        <x:f>D17*AHP!$E$24</x:f>
        <x:v>0.04142709251723549</x:v>
      </x:c>
      <x:c r="E24" s="57">
        <x:f>E17*AHP!$E$25</x:f>
        <x:v>0.09902584477612543</x:v>
      </x:c>
    </x:row>
    <x:row r="25">
      <x:c r="A25" s="3" t="str">
        <x:f>A18</x:f>
        <x:v>F4</x:v>
      </x:c>
      <x:c r="B25" s="57">
        <x:f>B18*AHP!$E$22</x:f>
        <x:v>0.16936936936936936</x:v>
      </x:c>
      <x:c r="C25" s="57">
        <x:f>C18*AHP!$E$23</x:f>
        <x:v>0.10846336547020465</x:v>
      </x:c>
      <x:c r="D25" s="57">
        <x:f>D18*AHP!$E$24</x:f>
        <x:v>0.049712511020682595</x:v>
      </x:c>
      <x:c r="E25" s="57">
        <x:f>E18*AHP!$E$25</x:f>
        <x:v>0.11317239402985763</x:v>
      </x:c>
    </x:row>
    <x:row r="27">
      <x:c r="A27" s="37" t="inlineStr">
        <x:is>
          <x:t xml:space="preserve">Ideal Solutions</x:t>
        </x:is>
      </x:c>
    </x:row>
    <x:row r="28">
      <x:c r="A28" s="6" t="inlineStr">
        <x:is>
          <x:t xml:space="preserve">Solution</x:t>
        </x:is>
      </x:c>
      <x:c r="B28" s="6" t="inlineStr">
        <x:is>
          <x:t xml:space="preserve">C1</x:t>
        </x:is>
      </x:c>
      <x:c r="C28" s="6" t="inlineStr">
        <x:is>
          <x:t xml:space="preserve">C2</x:t>
        </x:is>
      </x:c>
      <x:c r="D28" s="6" t="inlineStr">
        <x:is>
          <x:t xml:space="preserve">C3</x:t>
        </x:is>
      </x:c>
      <x:c r="E28" s="6" t="inlineStr">
        <x:is>
          <x:t xml:space="preserve">C4</x:t>
        </x:is>
      </x:c>
    </x:row>
    <x:row r="29">
      <x:c r="A29" s="3" t="inlineStr">
        <x:is>
          <x:t xml:space="preserve">A+ (positive ideal)</x:t>
        </x:is>
      </x:c>
      <x:c r="B29" s="57">
        <x:f>MIN(B22:B25)</x:f>
        <x:v>0.14114114114114112</x:v>
      </x:c>
      <x:c r="C29" s="57">
        <x:f>MAX(C22:C25)</x:f>
        <x:v>0.16269504820530697</x:v>
      </x:c>
      <x:c r="D29" s="57">
        <x:f>MAX(D22:D25)</x:f>
        <x:v>0.08285418503447098</x:v>
      </x:c>
      <x:c r="E29" s="57">
        <x:f>MAX(E22:E25)</x:f>
        <x:v>0.12731894328358984</x:v>
      </x:c>
    </x:row>
    <x:row r="30">
      <x:c r="A30" s="3" t="inlineStr">
        <x:is>
          <x:t xml:space="preserve">A- (negative ideal)</x:t>
        </x:is>
      </x:c>
      <x:c r="B30" s="57">
        <x:f>MAX(B22:B25)</x:f>
        <x:v>0.28228228228228225</x:v>
      </x:c>
      <x:c r="C30" s="57">
        <x:f>MIN(C22:C25)</x:f>
        <x:v>0.07230891031346975</x:v>
      </x:c>
      <x:c r="D30" s="57">
        <x:f>MIN(D22:D25)</x:f>
        <x:v>0.04142709251723549</x:v>
      </x:c>
      <x:c r="E30" s="57">
        <x:f>MIN(E22:E25)</x:f>
        <x:v>0.09902584477612543</x:v>
      </x:c>
    </x:row>
    <x:row r="32">
      <x:c r="A32" s="37" t="inlineStr">
        <x:is>
          <x:t xml:space="preserve">Distances and Closeness</x:t>
        </x:is>
      </x:c>
    </x:row>
    <x:row r="33">
      <x:c r="A33" s="6" t="inlineStr">
        <x:is>
          <x:t xml:space="preserve">Alternative</x:t>
        </x:is>
      </x:c>
      <x:c r="B33" s="6" t="inlineStr">
        <x:is>
          <x:t xml:space="preserve">S*</x:t>
        </x:is>
      </x:c>
      <x:c r="C33" s="6" t="inlineStr">
        <x:is>
          <x:t xml:space="preserve">S-</x:t>
        </x:is>
      </x:c>
      <x:c r="D33" s="6" t="inlineStr">
        <x:is>
          <x:t xml:space="preserve">Closeness Coefficient</x:t>
        </x:is>
      </x:c>
      <x:c r="E33" s="6" t="inlineStr">
        <x:is>
          <x:t xml:space="preserve">Rank</x:t>
        </x:is>
      </x:c>
    </x:row>
    <x:row r="34">
      <x:c r="A34" s="3" t="str">
        <x:f>A22</x:f>
        <x:v>F1</x:v>
      </x:c>
      <x:c r="B34" s="57">
        <x:f>SQRT(SUMXMY2(B22:E22,$B$29:$E$29))</x:f>
        <x:v>0.16760213496738557</x:v>
      </x:c>
      <x:c r="C34" s="57">
        <x:f>SQRT(SUMXMY2(B22:E22,$B$30:$E$30))</x:f>
        <x:v>0.050166756099878265</x:v>
      </x:c>
      <x:c r="D34" s="57">
        <x:f>C34/(B34+C34)</x:f>
        <x:v>0.23036695394836218</x:v>
      </x:c>
      <x:c r="E34" s="12">
        <x:f>RANK(D34,$D$34:$D$37,0)</x:f>
        <x:v>4</x:v>
      </x:c>
    </x:row>
    <x:row r="35">
      <x:c r="A35" s="3" t="str">
        <x:f>A23</x:f>
        <x:v>F2</x:v>
      </x:c>
      <x:c r="B35" s="57">
        <x:f>SQRT(SUMXMY2(B23:E23,$B$29:$E$29))</x:f>
        <x:v>0.11414574098608346</x:v>
      </x:c>
      <x:c r="C35" s="57">
        <x:f>SQRT(SUMXMY2(B23:E23,$B$30:$E$30))</x:f>
        <x:v>0.06436841995059393</x:v>
      </x:c>
      <x:c r="D35" s="57">
        <x:f>C35/(B35+C35)</x:f>
        <x:v>0.36057878889186123</x:v>
      </x:c>
      <x:c r="E35" s="12">
        <x:f>RANK(D35,$D$34:$D$37,0)</x:f>
        <x:v>3</x:v>
      </x:c>
    </x:row>
    <x:row r="36">
      <x:c r="A36" s="3" t="str">
        <x:f>A24</x:f>
        <x:v>F3</x:v>
      </x:c>
      <x:c r="B36" s="57">
        <x:f>SQRT(SUMXMY2(B24:E24,$B$29:$E$29))</x:f>
        <x:v>0.050166756099878265</x:v>
      </x:c>
      <x:c r="C36" s="57">
        <x:f>SQRT(SUMXMY2(B24:E24,$B$30:$E$30))</x:f>
        <x:v>0.16760213496738557</x:v>
      </x:c>
      <x:c r="D36" s="57">
        <x:f>C36/(B36+C36)</x:f>
        <x:v>0.7696330460516378</x:v>
      </x:c>
      <x:c r="E36" s="12">
        <x:f>RANK(D36,$D$34:$D$37,0)</x:f>
        <x:v>1</x:v>
      </x:c>
    </x:row>
    <x:row r="37">
      <x:c r="A37" s="3" t="str">
        <x:f>A25</x:f>
        <x:v>F4</x:v>
      </x:c>
      <x:c r="B37" s="57">
        <x:f>SQRT(SUMXMY2(B25:E25,$B$29:$E$29))</x:f>
        <x:v>0.07096762426212551</x:v>
      </x:c>
      <x:c r="C37" s="57">
        <x:f>SQRT(SUMXMY2(B25:E25,$B$30:$E$30))</x:f>
        <x:v>0.11968810945839582</x:v>
      </x:c>
      <x:c r="D37" s="57">
        <x:f>C37/(B37+C37)</x:f>
        <x:v>0.6277708365899154</x:v>
      </x:c>
      <x:c r="E37" s="12">
        <x:f>RANK(D37,$D$34:$D$37,0)</x:f>
        <x:v>2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2" width="40" style="38" customWidth="1"/>
    <x:col min="3" max="4" width="11.5703125" style="38" customWidth="1"/>
    <x:col min="5" max="5" width="16.42578125" style="38" customWidth="1"/>
    <x:col min="6" max="7" width="10.85546875" style="38" customWidth="1"/>
    <x:col min="8" max="8" width="19.28515625" style="38" customWidth="1"/>
    <x:col min="9" max="9" width="11.5703125" style="38" customWidth="1"/>
    <x:col min="10" max="11" width="10" style="38" customWidth="1"/>
    <x:col min="12" max="12" width="18.28515625" style="38" customWidth="1"/>
    <x:col min="14" max="14" width="16" style="38" customWidth="1"/>
    <x:col min="15" max="15" width="22.42578125" style="38" customWidth="1"/>
    <x:col min="16" max="16" width="18.42578125" style="38" customWidth="1"/>
    <x:col min="17" max="17" width="9.42578125" style="38" customWidth="1"/>
  </x:cols>
  <x:sheetData>
    <x:row r="1" s="38" customFormat="1" ht="18.75" customHeight="1">
      <x:c r="A1" s="1" t="inlineStr">
        <x:is>
          <x:t xml:space="preserve">Base Combination Detail - F1 + F2</x:t>
        </x:is>
      </x:c>
      <x:c r="B1" s="53" t="inlineStr">
        <x:is>
          <x:t xml:space="preserve">Base Combination Detail - F1 + F2</x:t>
        </x:is>
      </x:c>
    </x:row>
    <x:row r="3">
      <x:c r="A3" s="37" t="inlineStr">
        <x:is>
          <x:t xml:space="preserve">Controls</x:t>
        </x:is>
      </x:c>
      <x:c r="N3" s="39" t="inlineStr">
        <x:is>
          <x:t xml:space="preserve">Cost Summary</x:t>
        </x:is>
      </x:c>
    </x:row>
    <x:row r="4">
      <x:c r="A4" s="4" t="inlineStr">
        <x:is>
          <x:t xml:space="preserve">F1 capacity (ton)</x:t>
        </x:is>
      </x:c>
      <x:c r="B4" s="5">
        <x:f>Inputs!G12</x:f>
        <x:v>200</x:v>
      </x:c>
      <x:c r="N4" s="16" t="inlineStr">
        <x:is>
          <x:t xml:space="preserve">Fixed Cost</x:t>
        </x:is>
      </x:c>
      <x:c r="O4" s="64">
        <x:f>B6+B7</x:f>
        <x:v>9000</x:v>
      </x:c>
    </x:row>
    <x:row r="5">
      <x:c r="A5" s="4" t="inlineStr">
        <x:is>
          <x:t xml:space="preserve">F2 capacity (ton)</x:t>
        </x:is>
      </x:c>
      <x:c r="B5" s="5">
        <x:f>Inputs!G13</x:f>
        <x:v>150</x:v>
      </x:c>
      <x:c r="N5" s="16" t="inlineStr">
        <x:is>
          <x:t xml:space="preserve">Variable Cost</x:t>
        </x:is>
      </x:c>
      <x:c r="O5" s="64">
        <x:f>L20</x:f>
        <x:v>4181.2146</x:v>
      </x:c>
    </x:row>
    <x:row r="6">
      <x:c r="A6" s="4" t="inlineStr">
        <x:is>
          <x:t xml:space="preserve">Fixed cost of F1 (USD)</x:t>
        </x:is>
      </x:c>
      <x:c r="B6" s="19">
        <x:f>Inputs!F12</x:f>
        <x:v>5000</x:v>
      </x:c>
      <x:c r="N6" s="16" t="inlineStr">
        <x:is>
          <x:t xml:space="preserve">Total Cost</x:t>
        </x:is>
      </x:c>
      <x:c r="O6" s="64">
        <x:f>O4+O5</x:f>
        <x:v>13181.2146</x:v>
      </x:c>
    </x:row>
    <x:row r="7">
      <x:c r="A7" s="4" t="inlineStr">
        <x:is>
          <x:t xml:space="preserve">Fixed cost of F2 (USD)</x:t>
        </x:is>
      </x:c>
      <x:c r="B7" s="19">
        <x:f>Inputs!F13</x:f>
        <x:v>4000</x:v>
      </x:c>
      <x:c r="N7" s="20" t="n"/>
      <x:c r="O7" s="21" t="n"/>
    </x:row>
    <x:row r="8">
      <x:c r="A8" s="4" t="inlineStr">
        <x:is>
          <x:t xml:space="preserve">Initial load on F1 before shifting</x:t>
        </x:is>
      </x:c>
      <x:c r="B8" s="22">
        <x:f>SUM(F14:F19)</x:f>
        <x:v>100.6</x:v>
      </x:c>
      <x:c r="N8" s="16" t="inlineStr">
        <x:is>
          <x:t xml:space="preserve">Final Load on F1</x:t>
        </x:is>
      </x:c>
      <x:c r="O8" s="23">
        <x:f>J20</x:f>
        <x:v>137.50000000000003</x:v>
      </x:c>
    </x:row>
    <x:row r="9">
      <x:c r="A9" s="4" t="inlineStr">
        <x:is>
          <x:t xml:space="preserve">Initial load on F2 before shifting</x:t>
        </x:is>
      </x:c>
      <x:c r="B9" s="22">
        <x:f>SUM(G14:G19)</x:f>
        <x:v>186.90000000000003</x:v>
      </x:c>
      <x:c r="N9" s="16" t="inlineStr">
        <x:is>
          <x:t xml:space="preserve">Final Load on F2</x:t>
        </x:is>
      </x:c>
      <x:c r="O9" s="23">
        <x:f>K20</x:f>
        <x:v>149.99999999999997</x:v>
      </x:c>
    </x:row>
    <x:row r="10">
      <x:c r="A10" s="4" t="inlineStr">
        <x:is>
          <x:t xml:space="preserve">Shift required from F2 to F1</x:t>
        </x:is>
      </x:c>
      <x:c r="B10" s="22">
        <x:f>MIN(MAX(0,B9-B5),MAX(0,B4-B8))</x:f>
        <x:v>36.900000000000034</x:v>
      </x:c>
      <x:c r="N10" s="16" t="inlineStr">
        <x:is>
          <x:t xml:space="preserve">Utilization F1</x:t>
        </x:is>
      </x:c>
      <x:c r="O10" s="24">
        <x:f>O8/B4</x:f>
        <x:v>0.6875000000000001</x:v>
      </x:c>
    </x:row>
    <x:row r="11">
      <x:c r="N11" s="16" t="inlineStr">
        <x:is>
          <x:t xml:space="preserve">Utilization F2</x:t>
        </x:is>
      </x:c>
      <x:c r="O11" s="24">
        <x:f>O9/B5</x:f>
        <x:v>0.9999999999999998</x:v>
      </x:c>
    </x:row>
    <x:row r="12">
      <x:c r="A12" s="37" t="inlineStr">
        <x:is>
          <x:t xml:space="preserve">Flow Allocation Table</x:t>
        </x:is>
      </x:c>
      <x:c r="N12" s="16" t="inlineStr">
        <x:is>
          <x:t xml:space="preserve">Feasibility Check</x:t>
        </x:is>
      </x:c>
      <x:c r="O12" s="25" t="str">
        <x:f>IF(AND(ABS(B20-J20-K20)&lt;0.001,O8&lt;=B4+0.001,O9&lt;=B5+0.001),"OK","CHECK")</x:f>
        <x:v>OK</x:v>
      </x:c>
    </x:row>
    <x:row r="13">
      <x:c r="A13" s="6" t="inlineStr">
        <x:is>
          <x:t xml:space="preserve">City</x:t>
        </x:is>
      </x:c>
      <x:c r="B13" s="7" t="inlineStr">
        <x:is>
          <x:t xml:space="preserve">Demand (ton)</x:t>
        </x:is>
      </x:c>
      <x:c r="C13" s="7" t="inlineStr">
        <x:is>
          <x:t xml:space="preserve">Unit Cost F1</x:t>
        </x:is>
      </x:c>
      <x:c r="D13" s="7" t="inlineStr">
        <x:is>
          <x:t xml:space="preserve">Unit Cost F2</x:t>
        </x:is>
      </x:c>
      <x:c r="E13" s="7" t="inlineStr">
        <x:is>
          <x:t xml:space="preserve">Preferred Facility</x:t>
        </x:is>
      </x:c>
      <x:c r="F13" s="7" t="inlineStr">
        <x:is>
          <x:t xml:space="preserve">Initial to F1</x:t>
        </x:is>
      </x:c>
      <x:c r="G13" s="7" t="inlineStr">
        <x:is>
          <x:t xml:space="preserve">Initial to F2</x:t>
        </x:is>
      </x:c>
      <x:c r="H13" s="7" t="inlineStr">
        <x:is>
          <x:t xml:space="preserve">Delta if Shifted to F1</x:t>
        </x:is>
      </x:c>
      <x:c r="I13" s="7" t="inlineStr">
        <x:is>
          <x:t xml:space="preserve">Shift F2→F1</x:t>
        </x:is>
      </x:c>
      <x:c r="J13" s="7" t="inlineStr">
        <x:is>
          <x:t xml:space="preserve">Final to F1</x:t>
        </x:is>
      </x:c>
      <x:c r="K13" s="7" t="inlineStr">
        <x:is>
          <x:t xml:space="preserve">Final to F2</x:t>
        </x:is>
      </x:c>
      <x:c r="L13" s="7" t="inlineStr">
        <x:is>
          <x:t xml:space="preserve">Row Variable Cost</x:t>
        </x:is>
      </x:c>
    </x:row>
    <x:row r="14">
      <x:c r="A14" s="3" t="inlineStr">
        <x:is>
          <x:t xml:space="preserve">Istanbul</x:t>
        </x:is>
      </x:c>
      <x:c r="B14" s="26">
        <x:f>Inputs!B12</x:f>
        <x:v>100.6</x:v>
      </x:c>
      <x:c r="C14" s="26">
        <x:f>Inputs!H23</x:f>
        <x:v>1.231</x:v>
      </x:c>
      <x:c r="D14" s="26">
        <x:f>Inputs!I23</x:f>
        <x:v>10.4635</x:v>
      </x:c>
      <x:c r="E14" s="10" t="str">
        <x:f>IF(C14&lt;=D14,"F1","F2")</x:f>
        <x:v>F1</x:v>
      </x:c>
      <x:c r="F14" s="26">
        <x:f>IF(E14="F1",B14,0)</x:f>
        <x:v>100.6</x:v>
      </x:c>
      <x:c r="G14" s="26">
        <x:f>B14-F14</x:f>
        <x:v>0</x:v>
      </x:c>
      <x:c r="H14" s="26">
        <x:f>C14-D14</x:f>
        <x:v>-9.2325</x:v>
      </x:c>
      <x:c r="I14" s="26" t="n">
        <x:v>0</x:v>
      </x:c>
      <x:c r="J14" s="26">
        <x:f>F14+I14</x:f>
        <x:v>100.6</x:v>
      </x:c>
      <x:c r="K14" s="26">
        <x:f>G14-I14</x:f>
        <x:v>0</x:v>
      </x:c>
      <x:c r="L14" s="70">
        <x:f>J14*C14+K14*D14</x:f>
        <x:v>123.8386</x:v>
      </x:c>
    </x:row>
    <x:row r="15">
      <x:c r="A15" s="3" t="inlineStr">
        <x:is>
          <x:t xml:space="preserve">Kocaeli</x:t>
        </x:is>
      </x:c>
      <x:c r="B15" s="26">
        <x:f>Inputs!B13</x:f>
        <x:v>71.9</x:v>
      </x:c>
      <x:c r="C15" s="26">
        <x:f>Inputs!H24</x:f>
        <x:v>10.4635</x:v>
      </x:c>
      <x:c r="D15" s="26">
        <x:f>Inputs!I24</x:f>
        <x:v>1.231</x:v>
      </x:c>
      <x:c r="E15" s="10" t="str">
        <x:f>IF(C15&lt;=D15,"F1","F2")</x:f>
        <x:v>F2</x:v>
      </x:c>
      <x:c r="F15" s="26">
        <x:f>IF(E15="F1",B15,0)</x:f>
        <x:v>0</x:v>
      </x:c>
      <x:c r="G15" s="26">
        <x:f>B15-F15</x:f>
        <x:v>71.9</x:v>
      </x:c>
      <x:c r="H15" s="26">
        <x:f>C15-D15</x:f>
        <x:v>9.2325</x:v>
      </x:c>
      <x:c r="I15" s="26" t="n">
        <x:v>0</x:v>
      </x:c>
      <x:c r="J15" s="26">
        <x:f>F15+I15</x:f>
        <x:v>0</x:v>
      </x:c>
      <x:c r="K15" s="26">
        <x:f>G15-I15</x:f>
        <x:v>71.9</x:v>
      </x:c>
      <x:c r="L15" s="70">
        <x:f>J15*C15+K15*D15</x:f>
        <x:v>88.50890000000001</x:v>
      </x:c>
      <x:c r="N15" s="39" t="inlineStr">
        <x:is>
          <x:t xml:space="preserve">Feasible Pair Check</x:t>
        </x:is>
      </x:c>
    </x:row>
    <x:row r="16">
      <x:c r="A16" s="3" t="inlineStr">
        <x:is>
          <x:t xml:space="preserve">Bursa</x:t>
        </x:is>
      </x:c>
      <x:c r="B16" s="26">
        <x:f>Inputs!B14</x:f>
        <x:v>43.1</x:v>
      </x:c>
      <x:c r="C16" s="26">
        <x:f>Inputs!H25</x:f>
        <x:v>18.465</x:v>
      </x:c>
      <x:c r="D16" s="26">
        <x:f>Inputs!I25</x:f>
        <x:v>16.003</x:v>
      </x:c>
      <x:c r="E16" s="10" t="str">
        <x:f>IF(C16&lt;=D16,"F1","F2")</x:f>
        <x:v>F2</x:v>
      </x:c>
      <x:c r="F16" s="26">
        <x:f>IF(E16="F1",B16,0)</x:f>
        <x:v>0</x:v>
      </x:c>
      <x:c r="G16" s="26">
        <x:f>B16-F16</x:f>
        <x:v>43.1</x:v>
      </x:c>
      <x:c r="H16" s="26">
        <x:f>C16-D16</x:f>
        <x:v>2.4619999999999997</x:v>
      </x:c>
      <x:c r="I16" s="26">
        <x:f>MIN(G16,$B$10)</x:f>
        <x:v>36.900000000000034</x:v>
      </x:c>
      <x:c r="J16" s="26">
        <x:f>F16+I16</x:f>
        <x:v>36.900000000000034</x:v>
      </x:c>
      <x:c r="K16" s="26">
        <x:f>G16-I16</x:f>
        <x:v>6.199999999999967</x:v>
      </x:c>
      <x:c r="L16" s="70">
        <x:f>J16*C16+K16*D16</x:f>
        <x:v>780.5771000000001</x:v>
      </x:c>
      <x:c r="N16" s="7" t="inlineStr">
        <x:is>
          <x:t xml:space="preserve">Pair</x:t>
        </x:is>
      </x:c>
      <x:c r="O16" s="7" t="inlineStr">
        <x:is>
          <x:t xml:space="preserve">Available Capacity (ton)</x:t>
        </x:is>
      </x:c>
      <x:c r="P16" s="7" t="inlineStr">
        <x:is>
          <x:t xml:space="preserve">Total Demand (ton)</x:t>
        </x:is>
      </x:c>
      <x:c r="Q16" s="7" t="inlineStr">
        <x:is>
          <x:t xml:space="preserve">Feasible?</x:t>
        </x:is>
      </x:c>
    </x:row>
    <x:row r="17">
      <x:c r="A17" s="3" t="inlineStr">
        <x:is>
          <x:t xml:space="preserve">Izmir</x:t>
        </x:is>
      </x:c>
      <x:c r="B17" s="26">
        <x:f>Inputs!B15</x:f>
        <x:v>28.8</x:v>
      </x:c>
      <x:c r="C17" s="26">
        <x:f>Inputs!H26</x:f>
        <x:v>59.088</x:v>
      </x:c>
      <x:c r="D17" s="26">
        <x:f>Inputs!I26</x:f>
        <x:v>55.395</x:v>
      </x:c>
      <x:c r="E17" s="10" t="str">
        <x:f>IF(C17&lt;=D17,"F1","F2")</x:f>
        <x:v>F2</x:v>
      </x:c>
      <x:c r="F17" s="26">
        <x:f>IF(E17="F1",B17,0)</x:f>
        <x:v>0</x:v>
      </x:c>
      <x:c r="G17" s="26">
        <x:f>B17-F17</x:f>
        <x:v>28.8</x:v>
      </x:c>
      <x:c r="H17" s="26">
        <x:f>C17-D17</x:f>
        <x:v>3.692999999999998</x:v>
      </x:c>
      <x:c r="I17" s="26">
        <x:f>MIN(G17,MAX(0,$B$10-I16))</x:f>
        <x:v>0</x:v>
      </x:c>
      <x:c r="J17" s="26">
        <x:f>F17+I17</x:f>
        <x:v>0</x:v>
      </x:c>
      <x:c r="K17" s="26">
        <x:f>G17-I17</x:f>
        <x:v>28.8</x:v>
      </x:c>
      <x:c r="L17" s="70">
        <x:f>J17*C17+K17*D17</x:f>
        <x:v>1595.3760000000002</x:v>
      </x:c>
      <x:c r="N17" s="10" t="inlineStr">
        <x:is>
          <x:t xml:space="preserve">F1 + F2</x:t>
        </x:is>
      </x:c>
      <x:c r="O17" s="26">
        <x:f>B4+Inputs!G13</x:f>
        <x:v>350</x:v>
      </x:c>
      <x:c r="P17" s="26">
        <x:f>B20</x:f>
        <x:v>287.5</x:v>
      </x:c>
      <x:c r="Q17" s="10" t="str">
        <x:f>IF(O17&gt;=P17,"Yes","No")</x:f>
        <x:v>Yes</x:v>
      </x:c>
    </x:row>
    <x:row r="18">
      <x:c r="A18" s="3" t="inlineStr">
        <x:is>
          <x:t xml:space="preserve">Ankara</x:t>
        </x:is>
      </x:c>
      <x:c r="B18" s="26">
        <x:f>Inputs!B16</x:f>
        <x:v>28.8</x:v>
      </x:c>
      <x:c r="C18" s="26">
        <x:f>Inputs!H27</x:f>
        <x:v>55.395</x:v>
      </x:c>
      <x:c r="D18" s="26">
        <x:f>Inputs!I27</x:f>
        <x:v>43.085</x:v>
      </x:c>
      <x:c r="E18" s="10" t="str">
        <x:f>IF(C18&lt;=D18,"F1","F2")</x:f>
        <x:v>F2</x:v>
      </x:c>
      <x:c r="F18" s="26">
        <x:f>IF(E18="F1",B18,0)</x:f>
        <x:v>0</x:v>
      </x:c>
      <x:c r="G18" s="26">
        <x:f>B18-F18</x:f>
        <x:v>28.8</x:v>
      </x:c>
      <x:c r="H18" s="26">
        <x:f>C18-D18</x:f>
        <x:v>12.310000000000002</x:v>
      </x:c>
      <x:c r="I18" s="26">
        <x:f>MIN(G18,MAX(0,$B$10-I16-I17-I19))</x:f>
        <x:v>0</x:v>
      </x:c>
      <x:c r="J18" s="26">
        <x:f>F18+I18</x:f>
        <x:v>0</x:v>
      </x:c>
      <x:c r="K18" s="26">
        <x:f>G18-I18</x:f>
        <x:v>28.8</x:v>
      </x:c>
      <x:c r="L18" s="70">
        <x:f>J18*C18+K18*D18</x:f>
        <x:v>1240.848</x:v>
      </x:c>
      <x:c r="N18" s="10" t="inlineStr">
        <x:is>
          <x:t xml:space="preserve">F1 + F3</x:t>
        </x:is>
      </x:c>
      <x:c r="O18" s="26">
        <x:f>B4+Inputs!G14</x:f>
        <x:v>300</x:v>
      </x:c>
      <x:c r="P18" s="26">
        <x:f>B20</x:f>
        <x:v>287.5</x:v>
      </x:c>
      <x:c r="Q18" s="10" t="str">
        <x:f>IF(O18&gt;=P18,"Yes","No")</x:f>
        <x:v>Yes</x:v>
      </x:c>
    </x:row>
    <x:row r="19">
      <x:c r="A19" s="3" t="inlineStr">
        <x:is>
          <x:t xml:space="preserve">Eskisehir</x:t>
        </x:is>
      </x:c>
      <x:c r="B19" s="26">
        <x:f>Inputs!B17</x:f>
        <x:v>14.3</x:v>
      </x:c>
      <x:c r="C19" s="26">
        <x:f>Inputs!H28</x:f>
        <x:v>34.468</x:v>
      </x:c>
      <x:c r="D19" s="26">
        <x:f>Inputs!I28</x:f>
        <x:v>24.62</x:v>
      </x:c>
      <x:c r="E19" s="10" t="str">
        <x:f>IF(C19&lt;=D19,"F1","F2")</x:f>
        <x:v>F2</x:v>
      </x:c>
      <x:c r="F19" s="26">
        <x:f>IF(E19="F1",B19,0)</x:f>
        <x:v>0</x:v>
      </x:c>
      <x:c r="G19" s="26">
        <x:f>B19-F19</x:f>
        <x:v>14.3</x:v>
      </x:c>
      <x:c r="H19" s="26">
        <x:f>C19-D19</x:f>
        <x:v>9.848000000000003</x:v>
      </x:c>
      <x:c r="I19" s="26">
        <x:f>MIN(G19,MAX(0,$B$10-I16-I17))</x:f>
        <x:v>0</x:v>
      </x:c>
      <x:c r="J19" s="26">
        <x:f>F19+I19</x:f>
        <x:v>0</x:v>
      </x:c>
      <x:c r="K19" s="26">
        <x:f>G19-I19</x:f>
        <x:v>14.3</x:v>
      </x:c>
      <x:c r="L19" s="70">
        <x:f>J19*C19+K19*D19</x:f>
        <x:v>352.06600000000003</x:v>
      </x:c>
      <x:c r="N19" s="10" t="inlineStr">
        <x:is>
          <x:t xml:space="preserve">F1 + F4</x:t>
        </x:is>
      </x:c>
      <x:c r="O19" s="26">
        <x:f>B4+Inputs!G15</x:f>
        <x:v>320</x:v>
      </x:c>
      <x:c r="P19" s="26">
        <x:f>B20</x:f>
        <x:v>287.5</x:v>
      </x:c>
      <x:c r="Q19" s="10" t="str">
        <x:f>IF(O19&gt;=P19,"Yes","No")</x:f>
        <x:v>Yes</x:v>
      </x:c>
    </x:row>
    <x:row r="20">
      <x:c r="A20" s="3" t="inlineStr">
        <x:is>
          <x:t xml:space="preserve">Total</x:t>
        </x:is>
      </x:c>
      <x:c r="B20" s="28">
        <x:f>SUM(B14:B19)</x:f>
        <x:v>287.5</x:v>
      </x:c>
      <x:c r="F20" s="28">
        <x:f>SUM(F14:F19)</x:f>
        <x:v>100.6</x:v>
      </x:c>
      <x:c r="G20" s="28">
        <x:f>SUM(G14:G19)</x:f>
        <x:v>186.90000000000003</x:v>
      </x:c>
      <x:c r="I20" s="28">
        <x:f>SUM(I14:I19)</x:f>
        <x:v>36.900000000000034</x:v>
      </x:c>
      <x:c r="J20" s="28">
        <x:f>SUM(J14:J19)</x:f>
        <x:v>137.50000000000003</x:v>
      </x:c>
      <x:c r="K20" s="28">
        <x:f>SUM(K14:K19)</x:f>
        <x:v>149.99999999999997</x:v>
      </x:c>
      <x:c r="L20" s="71">
        <x:f>SUM(L14:L19)</x:f>
        <x:v>4181.2146</x:v>
      </x:c>
    </x:row>
  </x:sheetData>
  <x:mergeCells>
    <x:mergeCell ref="N15:Q15"/>
    <x:mergeCell ref="N3:O3"/>
    <x:mergeCell ref="A3:D3"/>
    <x:mergeCell ref="A12:L12"/>
  </x:mergeCells>
  <x:pageMargins left="0.7" right="0.7" top="0.75" bottom="0.75" header="0.3" footer="0.3"/>
  <x:legacyDrawing xmlns:r="http://schemas.openxmlformats.org/officeDocument/2006/relationships" r:id="R9b402ac3b5564fd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style="38" customWidth="1"/>
    <x:col min="2" max="2" width="13.42578125" style="38" customWidth="1"/>
    <x:col min="3" max="4" width="11.5703125" style="38" customWidth="1"/>
    <x:col min="5" max="5" width="16.42578125" style="38" customWidth="1"/>
    <x:col min="6" max="6" width="24.7109375" style="38" customWidth="1"/>
    <x:col min="7" max="8" width="10" style="38" customWidth="1"/>
    <x:col min="9" max="9" width="18.28515625" style="38" customWidth="1"/>
    <x:col min="11" max="11" width="16" style="38" customWidth="1"/>
    <x:col min="12" max="12" width="10.140625" style="38" customWidth="1"/>
  </x:cols>
  <x:sheetData>
    <x:row r="1" s="38" customFormat="1" ht="18.75" customHeight="1">
      <x:c r="A1" s="54" t="inlineStr">
        <x:is>
          <x:t xml:space="preserve">Base Combination Detail - F1 + F3</x:t>
        </x:is>
      </x:c>
    </x:row>
    <x:row r="3">
      <x:c r="A3" s="37" t="inlineStr">
        <x:is>
          <x:t xml:space="preserve">Controls</x:t>
        </x:is>
      </x:c>
      <x:c r="K3" s="39" t="inlineStr">
        <x:is>
          <x:t xml:space="preserve">Cost Summary</x:t>
        </x:is>
      </x:c>
    </x:row>
    <x:row r="4">
      <x:c r="A4" s="4" t="inlineStr">
        <x:is>
          <x:t xml:space="preserve">F1 capacity (ton)</x:t>
        </x:is>
      </x:c>
      <x:c r="B4" s="30">
        <x:f>Inputs!G12</x:f>
        <x:v>200</x:v>
      </x:c>
      <x:c r="K4" s="16" t="inlineStr">
        <x:is>
          <x:t xml:space="preserve">Fixed Cost</x:t>
        </x:is>
      </x:c>
      <x:c r="L4" s="64">
        <x:f>B6+B7</x:f>
        <x:v>7500</x:v>
      </x:c>
    </x:row>
    <x:row r="5">
      <x:c r="A5" s="4" t="inlineStr">
        <x:is>
          <x:t xml:space="preserve">F3 capacity (ton)</x:t>
        </x:is>
      </x:c>
      <x:c r="B5" s="30">
        <x:f>Inputs!G14</x:f>
        <x:v>100</x:v>
      </x:c>
      <x:c r="K5" s="16" t="inlineStr">
        <x:is>
          <x:t xml:space="preserve">Variable Cost</x:t>
        </x:is>
      </x:c>
      <x:c r="L5" s="64">
        <x:f>I18</x:f>
        <x:v>3976.3146500000007</x:v>
      </x:c>
    </x:row>
    <x:row r="6">
      <x:c r="A6" s="4" t="inlineStr">
        <x:is>
          <x:t xml:space="preserve">Fixed cost of F1 (USD)</x:t>
        </x:is>
      </x:c>
      <x:c r="B6" s="31">
        <x:f>Inputs!F12</x:f>
        <x:v>5000</x:v>
      </x:c>
      <x:c r="K6" s="16" t="inlineStr">
        <x:is>
          <x:t xml:space="preserve">Total Cost</x:t>
        </x:is>
      </x:c>
      <x:c r="L6" s="64">
        <x:f>L4+L5</x:f>
        <x:v>11476.31465</x:v>
      </x:c>
    </x:row>
    <x:row r="7">
      <x:c r="A7" s="4" t="inlineStr">
        <x:is>
          <x:t xml:space="preserve">Fixed cost of F3 (USD)</x:t>
        </x:is>
      </x:c>
      <x:c r="B7" s="31">
        <x:f>Inputs!F14</x:f>
        <x:v>2500</x:v>
      </x:c>
      <x:c r="K7" s="20" t="n"/>
      <x:c r="L7" s="21" t="n"/>
    </x:row>
    <x:row r="8">
      <x:c r="K8" s="16" t="inlineStr">
        <x:is>
          <x:t xml:space="preserve">Load on F1</x:t>
        </x:is>
      </x:c>
      <x:c r="L8" s="23">
        <x:f>G18</x:f>
        <x:v>200</x:v>
      </x:c>
    </x:row>
    <x:row r="9">
      <x:c r="K9" s="16" t="inlineStr">
        <x:is>
          <x:t xml:space="preserve">Load on F3</x:t>
        </x:is>
      </x:c>
      <x:c r="L9" s="23">
        <x:f>H18</x:f>
        <x:v>87.5</x:v>
      </x:c>
    </x:row>
    <x:row r="10">
      <x:c r="A10" s="37" t="inlineStr">
        <x:is>
          <x:t xml:space="preserve">Flow Allocation Table</x:t>
        </x:is>
      </x:c>
      <x:c r="K10" s="16" t="inlineStr">
        <x:is>
          <x:t xml:space="preserve">Utilization F1</x:t>
        </x:is>
      </x:c>
      <x:c r="L10" s="24">
        <x:f>L8/B4</x:f>
        <x:v>1</x:v>
      </x:c>
    </x:row>
    <x:row r="11">
      <x:c r="A11" s="6" t="inlineStr">
        <x:is>
          <x:t xml:space="preserve">City</x:t>
        </x:is>
      </x:c>
      <x:c r="B11" s="7" t="inlineStr">
        <x:is>
          <x:t xml:space="preserve">Demand (ton)</x:t>
        </x:is>
      </x:c>
      <x:c r="C11" s="7" t="inlineStr">
        <x:is>
          <x:t xml:space="preserve">Unit Cost F1</x:t>
        </x:is>
      </x:c>
      <x:c r="D11" s="7" t="inlineStr">
        <x:is>
          <x:t xml:space="preserve">Unit Cost F3</x:t>
        </x:is>
      </x:c>
      <x:c r="E11" s="7" t="inlineStr">
        <x:is>
          <x:t xml:space="preserve">Preferred Facility</x:t>
        </x:is>
      </x:c>
      <x:c r="F11" s="7" t="inlineStr">
        <x:is>
          <x:t xml:space="preserve">Cumulative F1 Before Row</x:t>
        </x:is>
      </x:c>
      <x:c r="G11" s="7" t="inlineStr">
        <x:is>
          <x:t xml:space="preserve">Final to F1</x:t>
        </x:is>
      </x:c>
      <x:c r="H11" s="7" t="inlineStr">
        <x:is>
          <x:t xml:space="preserve">Final to F3</x:t>
        </x:is>
      </x:c>
      <x:c r="I11" s="7" t="inlineStr">
        <x:is>
          <x:t xml:space="preserve">Row Variable Cost</x:t>
        </x:is>
      </x:c>
      <x:c r="K11" s="16" t="inlineStr">
        <x:is>
          <x:t xml:space="preserve">Utilization F3</x:t>
        </x:is>
      </x:c>
      <x:c r="L11" s="24">
        <x:f>L9/B5</x:f>
        <x:v>0.875</x:v>
      </x:c>
    </x:row>
    <x:row r="12">
      <x:c r="A12" s="3" t="inlineStr">
        <x:is>
          <x:t xml:space="preserve">Istanbul</x:t>
        </x:is>
      </x:c>
      <x:c r="B12" s="26">
        <x:f>Inputs!B12</x:f>
        <x:v>100.6</x:v>
      </x:c>
      <x:c r="C12" s="26">
        <x:f>Inputs!H23</x:f>
        <x:v>1.231</x:v>
      </x:c>
      <x:c r="D12" s="26">
        <x:f>Inputs!J23</x:f>
        <x:v>34.468</x:v>
      </x:c>
      <x:c r="E12" s="10" t="str">
        <x:f>IF(C12&lt;=D12,"F1","F3")</x:f>
        <x:v>F1</x:v>
      </x:c>
      <x:c r="F12" s="26" t="n">
        <x:v>0</x:v>
      </x:c>
      <x:c r="G12" s="26">
        <x:f>IF(E12="F1",MIN(B12,MAX(0,$B$4-F12)),0)</x:f>
        <x:v>100.6</x:v>
      </x:c>
      <x:c r="H12" s="26">
        <x:f>B12-G12</x:f>
        <x:v>0</x:v>
      </x:c>
      <x:c r="I12" s="70">
        <x:f>G12*C12+H12*D12</x:f>
        <x:v>123.8386</x:v>
      </x:c>
      <x:c r="K12" s="16" t="inlineStr">
        <x:is>
          <x:t xml:space="preserve">Feasibility Check</x:t>
        </x:is>
      </x:c>
      <x:c r="L12" s="25" t="str">
        <x:f>IF(AND(ABS(B18-G18-H18)&lt;0.001,L8&lt;=B4+0.001,L9&lt;=B5+0.001),"OK","CHECK")</x:f>
        <x:v>OK</x:v>
      </x:c>
    </x:row>
    <x:row r="13">
      <x:c r="A13" s="3" t="inlineStr">
        <x:is>
          <x:t xml:space="preserve">Kocaeli</x:t>
        </x:is>
      </x:c>
      <x:c r="B13" s="26">
        <x:f>Inputs!B13</x:f>
        <x:v>71.9</x:v>
      </x:c>
      <x:c r="C13" s="26">
        <x:f>Inputs!H24</x:f>
        <x:v>10.4635</x:v>
      </x:c>
      <x:c r="D13" s="26">
        <x:f>Inputs!J24</x:f>
        <x:v>24.62</x:v>
      </x:c>
      <x:c r="E13" s="10" t="str">
        <x:f>IF(C13&lt;=D13,"F1","F3")</x:f>
        <x:v>F1</x:v>
      </x:c>
      <x:c r="F13" s="26">
        <x:f>SUM($G$12:G12)</x:f>
        <x:v>100.6</x:v>
      </x:c>
      <x:c r="G13" s="26">
        <x:f>IF(E13="F1",MIN(B13,MAX(0,$B$4-F13)),0)</x:f>
        <x:v>71.9</x:v>
      </x:c>
      <x:c r="H13" s="26">
        <x:f>B13-G13</x:f>
        <x:v>0</x:v>
      </x:c>
      <x:c r="I13" s="70">
        <x:f>G13*C13+H13*D13</x:f>
        <x:v>752.32565</x:v>
      </x:c>
    </x:row>
    <x:row r="14">
      <x:c r="A14" s="3" t="inlineStr">
        <x:is>
          <x:t xml:space="preserve">Bursa</x:t>
        </x:is>
      </x:c>
      <x:c r="B14" s="26">
        <x:f>Inputs!B14</x:f>
        <x:v>43.1</x:v>
      </x:c>
      <x:c r="C14" s="26">
        <x:f>Inputs!H25</x:f>
        <x:v>18.465</x:v>
      </x:c>
      <x:c r="D14" s="26">
        <x:f>Inputs!J25</x:f>
        <x:v>18.465</x:v>
      </x:c>
      <x:c r="E14" s="10" t="str">
        <x:f>IF(C14&lt;=D14,"F1","F3")</x:f>
        <x:v>F1</x:v>
      </x:c>
      <x:c r="F14" s="26">
        <x:f>SUM($G$12:G13)</x:f>
        <x:v>172.5</x:v>
      </x:c>
      <x:c r="G14" s="26">
        <x:f>IF(E14="F1",MIN(B14,MAX(0,$B$4-F14)),0)</x:f>
        <x:v>27.5</x:v>
      </x:c>
      <x:c r="H14" s="26">
        <x:f>B14-G14</x:f>
        <x:v>15.600000000000001</x:v>
      </x:c>
      <x:c r="I14" s="70">
        <x:f>G14*C14+H14*D14</x:f>
        <x:v>795.8415</x:v>
      </x:c>
    </x:row>
    <x:row r="15">
      <x:c r="A15" s="3" t="inlineStr">
        <x:is>
          <x:t xml:space="preserve">Izmir</x:t>
        </x:is>
      </x:c>
      <x:c r="B15" s="26">
        <x:f>Inputs!B15</x:f>
        <x:v>28.8</x:v>
      </x:c>
      <x:c r="C15" s="26">
        <x:f>Inputs!H26</x:f>
        <x:v>59.088</x:v>
      </x:c>
      <x:c r="D15" s="26">
        <x:f>Inputs!J26</x:f>
        <x:v>50.471000000000004</x:v>
      </x:c>
      <x:c r="E15" s="10" t="str">
        <x:f>IF(C15&lt;=D15,"F1","F3")</x:f>
        <x:v>F3</x:v>
      </x:c>
      <x:c r="F15" s="26">
        <x:f>SUM($G$12:G14)</x:f>
        <x:v>200</x:v>
      </x:c>
      <x:c r="G15" s="26">
        <x:f>IF(E15="F1",MIN(B15,MAX(0,$B$4-F15)),0)</x:f>
        <x:v>0</x:v>
      </x:c>
      <x:c r="H15" s="26">
        <x:f>B15-G15</x:f>
        <x:v>28.8</x:v>
      </x:c>
      <x:c r="I15" s="70">
        <x:f>G15*C15+H15*D15</x:f>
        <x:v>1453.5648</x:v>
      </x:c>
    </x:row>
    <x:row r="16">
      <x:c r="A16" s="3" t="inlineStr">
        <x:is>
          <x:t xml:space="preserve">Ankara</x:t>
        </x:is>
      </x:c>
      <x:c r="B16" s="26">
        <x:f>Inputs!B16</x:f>
        <x:v>28.8</x:v>
      </x:c>
      <x:c r="C16" s="26">
        <x:f>Inputs!H27</x:f>
        <x:v>55.395</x:v>
      </x:c>
      <x:c r="D16" s="26">
        <x:f>Inputs!J27</x:f>
        <x:v>28.9285</x:v>
      </x:c>
      <x:c r="E16" s="10" t="str">
        <x:f>IF(C16&lt;=D16,"F1","F3")</x:f>
        <x:v>F3</x:v>
      </x:c>
      <x:c r="F16" s="26">
        <x:f>SUM($G$12:G15)</x:f>
        <x:v>200</x:v>
      </x:c>
      <x:c r="G16" s="26">
        <x:f>IF(E16="F1",MIN(B16,MAX(0,$B$4-F16)),0)</x:f>
        <x:v>0</x:v>
      </x:c>
      <x:c r="H16" s="26">
        <x:f>B16-G16</x:f>
        <x:v>28.8</x:v>
      </x:c>
      <x:c r="I16" s="70">
        <x:f>G16*C16+H16*D16</x:f>
        <x:v>833.1408</x:v>
      </x:c>
    </x:row>
    <x:row r="17">
      <x:c r="A17" s="3" t="inlineStr">
        <x:is>
          <x:t xml:space="preserve">Eskisehir</x:t>
        </x:is>
      </x:c>
      <x:c r="B17" s="26">
        <x:f>Inputs!B17</x:f>
        <x:v>14.3</x:v>
      </x:c>
      <x:c r="C17" s="26">
        <x:f>Inputs!H28</x:f>
        <x:v>34.468</x:v>
      </x:c>
      <x:c r="D17" s="26">
        <x:f>Inputs!J28</x:f>
        <x:v>1.231</x:v>
      </x:c>
      <x:c r="E17" s="10" t="str">
        <x:f>IF(C17&lt;=D17,"F1","F3")</x:f>
        <x:v>F3</x:v>
      </x:c>
      <x:c r="F17" s="26">
        <x:f>SUM($G$12:G16)</x:f>
        <x:v>200</x:v>
      </x:c>
      <x:c r="G17" s="26">
        <x:f>IF(E17="F1",MIN(B17,MAX(0,$B$4-F17)),0)</x:f>
        <x:v>0</x:v>
      </x:c>
      <x:c r="H17" s="26">
        <x:f>B17-G17</x:f>
        <x:v>14.3</x:v>
      </x:c>
      <x:c r="I17" s="70">
        <x:f>G17*C17+H17*D17</x:f>
        <x:v>17.6033</x:v>
      </x:c>
    </x:row>
    <x:row r="18">
      <x:c r="A18" s="3" t="inlineStr">
        <x:is>
          <x:t xml:space="preserve">Total</x:t>
        </x:is>
      </x:c>
      <x:c r="B18" s="28">
        <x:f>SUM(B12:B17)</x:f>
        <x:v>287.5</x:v>
      </x:c>
      <x:c r="G18" s="28">
        <x:f>SUM(G12:G17)</x:f>
        <x:v>200</x:v>
      </x:c>
      <x:c r="H18" s="28">
        <x:f>SUM(H12:H17)</x:f>
        <x:v>87.5</x:v>
      </x:c>
      <x:c r="I18" s="71">
        <x:f>SUM(I12:I17)</x:f>
        <x:v>3976.3146500000007</x:v>
      </x:c>
    </x:row>
  </x:sheetData>
  <x:mergeCells>
    <x:mergeCell ref="A10:I10"/>
    <x:mergeCell ref="A3:D3"/>
    <x:mergeCell ref="K3:L3"/>
  </x:mergeCells>
  <x:pageMargins left="0.7" right="0.7" top="0.75" bottom="0.75" header="0.3" footer="0.3"/>
  <x:legacyDrawing xmlns:r="http://schemas.openxmlformats.org/officeDocument/2006/relationships" r:id="R64cea610cf12450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style="38" customWidth="1"/>
    <x:col min="2" max="2" width="13.42578125" style="38" customWidth="1"/>
    <x:col min="3" max="4" width="11.5703125" style="38" customWidth="1"/>
    <x:col min="5" max="5" width="16.42578125" style="38" customWidth="1"/>
    <x:col min="6" max="6" width="24.7109375" style="38" customWidth="1"/>
    <x:col min="7" max="8" width="10" style="38" customWidth="1"/>
    <x:col min="9" max="9" width="18.28515625" style="38" customWidth="1"/>
    <x:col min="11" max="11" width="16" style="38" customWidth="1"/>
    <x:col min="12" max="12" width="10.140625" style="38" customWidth="1"/>
  </x:cols>
  <x:sheetData>
    <x:row r="1" s="38" customFormat="1" ht="18.75" customHeight="1">
      <x:c r="A1" s="54" t="inlineStr">
        <x:is>
          <x:t xml:space="preserve">Base Combination Detail - F1 + F4</x:t>
        </x:is>
      </x:c>
    </x:row>
    <x:row r="3">
      <x:c r="A3" s="37" t="inlineStr">
        <x:is>
          <x:t xml:space="preserve">Controls</x:t>
        </x:is>
      </x:c>
      <x:c r="K3" s="39" t="inlineStr">
        <x:is>
          <x:t xml:space="preserve">Cost Summary</x:t>
        </x:is>
      </x:c>
    </x:row>
    <x:row r="4">
      <x:c r="A4" s="4" t="inlineStr">
        <x:is>
          <x:t xml:space="preserve">F1 capacity (ton)</x:t>
        </x:is>
      </x:c>
      <x:c r="B4" s="30">
        <x:f>Inputs!G12</x:f>
        <x:v>200</x:v>
      </x:c>
      <x:c r="K4" s="16" t="inlineStr">
        <x:is>
          <x:t xml:space="preserve">Fixed Cost</x:t>
        </x:is>
      </x:c>
      <x:c r="L4" s="64">
        <x:f>B6+B7</x:f>
        <x:v>8000</x:v>
      </x:c>
    </x:row>
    <x:row r="5">
      <x:c r="A5" s="4" t="inlineStr">
        <x:is>
          <x:t xml:space="preserve">F4 capacity (ton)</x:t>
        </x:is>
      </x:c>
      <x:c r="B5" s="30">
        <x:f>Inputs!G15</x:f>
        <x:v>120</x:v>
      </x:c>
      <x:c r="K5" s="16" t="inlineStr">
        <x:is>
          <x:t xml:space="preserve">Variable Cost</x:t>
        </x:is>
      </x:c>
      <x:c r="L5" s="64">
        <x:f>I18</x:f>
        <x:v>4654.5341</x:v>
      </x:c>
    </x:row>
    <x:row r="6">
      <x:c r="A6" s="4" t="inlineStr">
        <x:is>
          <x:t xml:space="preserve">Fixed cost of F1 (USD)</x:t>
        </x:is>
      </x:c>
      <x:c r="B6" s="31">
        <x:f>Inputs!F12</x:f>
        <x:v>5000</x:v>
      </x:c>
      <x:c r="K6" s="16" t="inlineStr">
        <x:is>
          <x:t xml:space="preserve">Total Cost</x:t>
        </x:is>
      </x:c>
      <x:c r="L6" s="64">
        <x:f>L4+L5</x:f>
        <x:v>12654.5341</x:v>
      </x:c>
    </x:row>
    <x:row r="7">
      <x:c r="A7" s="4" t="inlineStr">
        <x:is>
          <x:t xml:space="preserve">Fixed cost of F4 (USD)</x:t>
        </x:is>
      </x:c>
      <x:c r="B7" s="31">
        <x:f>Inputs!F15</x:f>
        <x:v>3000</x:v>
      </x:c>
      <x:c r="K7" s="20" t="n"/>
      <x:c r="L7" s="21" t="n"/>
    </x:row>
    <x:row r="8">
      <x:c r="K8" s="16" t="inlineStr">
        <x:is>
          <x:t xml:space="preserve">Load on F1</x:t>
        </x:is>
      </x:c>
      <x:c r="L8" s="23">
        <x:f>G18</x:f>
        <x:v>200</x:v>
      </x:c>
    </x:row>
    <x:row r="9">
      <x:c r="K9" s="16" t="inlineStr">
        <x:is>
          <x:t xml:space="preserve">Load on F4</x:t>
        </x:is>
      </x:c>
      <x:c r="L9" s="23">
        <x:f>H18</x:f>
        <x:v>87.5</x:v>
      </x:c>
    </x:row>
    <x:row r="10">
      <x:c r="A10" s="37" t="inlineStr">
        <x:is>
          <x:t xml:space="preserve">Flow Allocation Table</x:t>
        </x:is>
      </x:c>
      <x:c r="K10" s="16" t="inlineStr">
        <x:is>
          <x:t xml:space="preserve">Utilization F1</x:t>
        </x:is>
      </x:c>
      <x:c r="L10" s="24">
        <x:f>L8/B4</x:f>
        <x:v>1</x:v>
      </x:c>
    </x:row>
    <x:row r="11">
      <x:c r="A11" s="6" t="inlineStr">
        <x:is>
          <x:t xml:space="preserve">City</x:t>
        </x:is>
      </x:c>
      <x:c r="B11" s="7" t="inlineStr">
        <x:is>
          <x:t xml:space="preserve">Demand (ton)</x:t>
        </x:is>
      </x:c>
      <x:c r="C11" s="7" t="inlineStr">
        <x:is>
          <x:t xml:space="preserve">Unit Cost F1</x:t>
        </x:is>
      </x:c>
      <x:c r="D11" s="7" t="inlineStr">
        <x:is>
          <x:t xml:space="preserve">Unit Cost F4</x:t>
        </x:is>
      </x:c>
      <x:c r="E11" s="7" t="inlineStr">
        <x:is>
          <x:t xml:space="preserve">Preferred Facility</x:t>
        </x:is>
      </x:c>
      <x:c r="F11" s="7" t="inlineStr">
        <x:is>
          <x:t xml:space="preserve">Cumulative F1 Before Row</x:t>
        </x:is>
      </x:c>
      <x:c r="G11" s="7" t="inlineStr">
        <x:is>
          <x:t xml:space="preserve">Final to F1</x:t>
        </x:is>
      </x:c>
      <x:c r="H11" s="7" t="inlineStr">
        <x:is>
          <x:t xml:space="preserve">Final to F4</x:t>
        </x:is>
      </x:c>
      <x:c r="I11" s="7" t="inlineStr">
        <x:is>
          <x:t xml:space="preserve">Row Variable Cost</x:t>
        </x:is>
      </x:c>
      <x:c r="K11" s="16" t="inlineStr">
        <x:is>
          <x:t xml:space="preserve">Utilization F4</x:t>
        </x:is>
      </x:c>
      <x:c r="L11" s="24">
        <x:f>L9/B5</x:f>
        <x:v>0.7291666666666666</x:v>
      </x:c>
    </x:row>
    <x:row r="12">
      <x:c r="A12" s="3" t="inlineStr">
        <x:is>
          <x:t xml:space="preserve">Istanbul</x:t>
        </x:is>
      </x:c>
      <x:c r="B12" s="26">
        <x:f>Inputs!B12</x:f>
        <x:v>100.6</x:v>
      </x:c>
      <x:c r="C12" s="26">
        <x:f>Inputs!H23</x:f>
        <x:v>1.231</x:v>
      </x:c>
      <x:c r="D12" s="26">
        <x:f>Inputs!K23</x:f>
        <x:v>55.395</x:v>
      </x:c>
      <x:c r="E12" s="10" t="str">
        <x:f>IF(C12&lt;=D12,"F1","F4")</x:f>
        <x:v>F1</x:v>
      </x:c>
      <x:c r="F12" s="26" t="n">
        <x:v>0</x:v>
      </x:c>
      <x:c r="G12" s="26">
        <x:f>IF(E12="F1",MIN(B12,MAX(0,$B$4-F12)),0)</x:f>
        <x:v>100.6</x:v>
      </x:c>
      <x:c r="H12" s="26">
        <x:f>B12-G12</x:f>
        <x:v>0</x:v>
      </x:c>
      <x:c r="I12" s="70">
        <x:f>G12*C12+H12*D12</x:f>
        <x:v>123.8386</x:v>
      </x:c>
      <x:c r="K12" s="16" t="inlineStr">
        <x:is>
          <x:t xml:space="preserve">Feasibility Check</x:t>
        </x:is>
      </x:c>
      <x:c r="L12" s="25" t="str">
        <x:f>IF(AND(ABS(B18-G18-H18)&lt;0.001,L8&lt;=B4+0.001,L9&lt;=B5+0.001),"OK","CHECK")</x:f>
        <x:v>OK</x:v>
      </x:c>
    </x:row>
    <x:row r="13">
      <x:c r="A13" s="3" t="inlineStr">
        <x:is>
          <x:t xml:space="preserve">Kocaeli</x:t>
        </x:is>
      </x:c>
      <x:c r="B13" s="26">
        <x:f>Inputs!B13</x:f>
        <x:v>71.9</x:v>
      </x:c>
      <x:c r="C13" s="26">
        <x:f>Inputs!H24</x:f>
        <x:v>10.4635</x:v>
      </x:c>
      <x:c r="D13" s="26">
        <x:f>Inputs!K24</x:f>
        <x:v>43.085</x:v>
      </x:c>
      <x:c r="E13" s="10" t="str">
        <x:f>IF(C13&lt;=D13,"F1","F4")</x:f>
        <x:v>F1</x:v>
      </x:c>
      <x:c r="F13" s="26">
        <x:f>SUM($G$12:G12)</x:f>
        <x:v>100.6</x:v>
      </x:c>
      <x:c r="G13" s="26">
        <x:f>IF(E13="F1",MIN(B13,MAX(0,$B$4-F13)),0)</x:f>
        <x:v>71.9</x:v>
      </x:c>
      <x:c r="H13" s="26">
        <x:f>B13-G13</x:f>
        <x:v>0</x:v>
      </x:c>
      <x:c r="I13" s="70">
        <x:f>G13*C13+H13*D13</x:f>
        <x:v>752.32565</x:v>
      </x:c>
    </x:row>
    <x:row r="14">
      <x:c r="A14" s="3" t="inlineStr">
        <x:is>
          <x:t xml:space="preserve">Bursa</x:t>
        </x:is>
      </x:c>
      <x:c r="B14" s="26">
        <x:f>Inputs!B14</x:f>
        <x:v>43.1</x:v>
      </x:c>
      <x:c r="C14" s="26">
        <x:f>Inputs!H25</x:f>
        <x:v>18.465</x:v>
      </x:c>
      <x:c r="D14" s="26">
        <x:f>Inputs!K25</x:f>
        <x:v>46.778</x:v>
      </x:c>
      <x:c r="E14" s="10" t="str">
        <x:f>IF(C14&lt;=D14,"F1","F4")</x:f>
        <x:v>F1</x:v>
      </x:c>
      <x:c r="F14" s="26">
        <x:f>SUM($G$12:G13)</x:f>
        <x:v>172.5</x:v>
      </x:c>
      <x:c r="G14" s="26">
        <x:f>IF(E14="F1",MIN(B14,MAX(0,$B$4-F14)),0)</x:f>
        <x:v>27.5</x:v>
      </x:c>
      <x:c r="H14" s="26">
        <x:f>B14-G14</x:f>
        <x:v>15.600000000000001</x:v>
      </x:c>
      <x:c r="I14" s="70">
        <x:f>G14*C14+H14*D14</x:f>
        <x:v>1237.5243</x:v>
      </x:c>
    </x:row>
    <x:row r="15">
      <x:c r="A15" s="3" t="inlineStr">
        <x:is>
          <x:t xml:space="preserve">Izmir</x:t>
        </x:is>
      </x:c>
      <x:c r="B15" s="26">
        <x:f>Inputs!B15</x:f>
        <x:v>28.8</x:v>
      </x:c>
      <x:c r="C15" s="26">
        <x:f>Inputs!H26</x:f>
        <x:v>59.088</x:v>
      </x:c>
      <x:c r="D15" s="26">
        <x:f>Inputs!K26</x:f>
        <x:v>72.629</x:v>
      </x:c>
      <x:c r="E15" s="10" t="str">
        <x:f>IF(C15&lt;=D15,"F1","F4")</x:f>
        <x:v>F1</x:v>
      </x:c>
      <x:c r="F15" s="26">
        <x:f>SUM($G$12:G14)</x:f>
        <x:v>200</x:v>
      </x:c>
      <x:c r="G15" s="26">
        <x:f>IF(E15="F1",MIN(B15,MAX(0,$B$4-F15)),0)</x:f>
        <x:v>0</x:v>
      </x:c>
      <x:c r="H15" s="26">
        <x:f>B15-G15</x:f>
        <x:v>28.8</x:v>
      </x:c>
      <x:c r="I15" s="70">
        <x:f>G15*C15+H15*D15</x:f>
        <x:v>2091.7152</x:v>
      </x:c>
    </x:row>
    <x:row r="16">
      <x:c r="A16" s="3" t="inlineStr">
        <x:is>
          <x:t xml:space="preserve">Ankara</x:t>
        </x:is>
      </x:c>
      <x:c r="B16" s="26">
        <x:f>Inputs!B16</x:f>
        <x:v>28.8</x:v>
      </x:c>
      <x:c r="C16" s="26">
        <x:f>Inputs!H27</x:f>
        <x:v>55.395</x:v>
      </x:c>
      <x:c r="D16" s="26">
        <x:f>Inputs!K27</x:f>
        <x:v>1.231</x:v>
      </x:c>
      <x:c r="E16" s="10" t="str">
        <x:f>IF(C16&lt;=D16,"F1","F4")</x:f>
        <x:v>F4</x:v>
      </x:c>
      <x:c r="F16" s="26">
        <x:f>SUM($G$12:G15)</x:f>
        <x:v>200</x:v>
      </x:c>
      <x:c r="G16" s="26">
        <x:f>IF(E16="F1",MIN(B16,MAX(0,$B$4-F16)),0)</x:f>
        <x:v>0</x:v>
      </x:c>
      <x:c r="H16" s="26">
        <x:f>B16-G16</x:f>
        <x:v>28.8</x:v>
      </x:c>
      <x:c r="I16" s="70">
        <x:f>G16*C16+H16*D16</x:f>
        <x:v>35.4528</x:v>
      </x:c>
    </x:row>
    <x:row r="17">
      <x:c r="A17" s="3" t="inlineStr">
        <x:is>
          <x:t xml:space="preserve">Eskisehir</x:t>
        </x:is>
      </x:c>
      <x:c r="B17" s="26">
        <x:f>Inputs!B17</x:f>
        <x:v>14.3</x:v>
      </x:c>
      <x:c r="C17" s="26">
        <x:f>Inputs!H28</x:f>
        <x:v>34.468</x:v>
      </x:c>
      <x:c r="D17" s="26">
        <x:f>Inputs!K28</x:f>
        <x:v>28.9285</x:v>
      </x:c>
      <x:c r="E17" s="10" t="str">
        <x:f>IF(C17&lt;=D17,"F1","F4")</x:f>
        <x:v>F4</x:v>
      </x:c>
      <x:c r="F17" s="26">
        <x:f>SUM($G$12:G16)</x:f>
        <x:v>200</x:v>
      </x:c>
      <x:c r="G17" s="26">
        <x:f>IF(E17="F1",MIN(B17,MAX(0,$B$4-F17)),0)</x:f>
        <x:v>0</x:v>
      </x:c>
      <x:c r="H17" s="26">
        <x:f>B17-G17</x:f>
        <x:v>14.3</x:v>
      </x:c>
      <x:c r="I17" s="70">
        <x:f>G17*C17+H17*D17</x:f>
        <x:v>413.67755</x:v>
      </x:c>
    </x:row>
    <x:row r="18">
      <x:c r="A18" s="3" t="inlineStr">
        <x:is>
          <x:t xml:space="preserve">Total</x:t>
        </x:is>
      </x:c>
      <x:c r="B18" s="28">
        <x:f>SUM(B12:B17)</x:f>
        <x:v>287.5</x:v>
      </x:c>
      <x:c r="G18" s="28">
        <x:f>SUM(G12:G17)</x:f>
        <x:v>200</x:v>
      </x:c>
      <x:c r="H18" s="28">
        <x:f>SUM(H12:H17)</x:f>
        <x:v>87.5</x:v>
      </x:c>
      <x:c r="I18" s="71">
        <x:f>SUM(I12:I17)</x:f>
        <x:v>4654.5341</x:v>
      </x:c>
    </x:row>
  </x:sheetData>
  <x:mergeCells>
    <x:mergeCell ref="A10:I10"/>
    <x:mergeCell ref="A3:D3"/>
    <x:mergeCell ref="K3:L3"/>
  </x:mergeCells>
  <x:pageMargins left="0.7" right="0.7" top="0.75" bottom="0.75" header="0.3" footer="0.3"/>
  <x:legacyDrawing xmlns:r="http://schemas.openxmlformats.org/officeDocument/2006/relationships" r:id="Raa7dfe730a43462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38" customWidth="1"/>
    <x:col min="2" max="2" width="18" style="38" customWidth="1"/>
    <x:col min="3" max="3" width="18" style="38" customWidth="1"/>
    <x:col min="4" max="4" width="18" style="38" customWidth="1"/>
    <x:col min="5" max="5" width="12" style="38" customWidth="1"/>
    <x:col min="6" max="6" width="18" style="38" customWidth="1"/>
    <x:col min="8" max="8" width="18" style="38" customWidth="1"/>
    <x:col min="9" max="9" width="16" style="38" customWidth="1"/>
  </x:cols>
  <x:sheetData>
    <x:row r="1" s="38" customFormat="1" ht="18.75" customHeight="1">
      <x:c r="A1" s="1" t="inlineStr">
        <x:is>
          <x:t xml:space="preserve">Base Case Comparison</x:t>
        </x:is>
      </x:c>
    </x:row>
    <x:row r="3">
      <x:c r="A3" s="37" t="inlineStr">
        <x:is>
          <x:t xml:space="preserve">Feasible Combination Comparison (Base Case)</x:t>
        </x:is>
      </x:c>
      <x:c r="H3" s="39" t="inlineStr">
        <x:is>
          <x:t xml:space="preserve">Base Case Optimal Solution</x:t>
        </x:is>
      </x:c>
    </x:row>
    <x:row r="4">
      <x:c r="A4" s="6" t="inlineStr">
        <x:is>
          <x:t xml:space="preserve">Combination</x:t>
        </x:is>
      </x:c>
      <x:c r="B4" s="7" t="inlineStr">
        <x:is>
          <x:t xml:space="preserve">Fixed Cost (USD/year)</x:t>
        </x:is>
      </x:c>
      <x:c r="C4" s="7" t="inlineStr">
        <x:is>
          <x:t xml:space="preserve">Variable Cost (USD)</x:t>
        </x:is>
      </x:c>
      <x:c r="D4" s="7" t="inlineStr">
        <x:is>
          <x:t xml:space="preserve">Total Cost (USD/year)</x:t>
        </x:is>
      </x:c>
      <x:c r="E4" s="7" t="inlineStr">
        <x:is>
          <x:t xml:space="preserve">Status</x:t>
        </x:is>
      </x:c>
      <x:c r="F4" s="7" t="inlineStr">
        <x:is>
          <x:t xml:space="preserve">Reference Detail Sheet</x:t>
        </x:is>
      </x:c>
      <x:c r="H4" s="16" t="inlineStr">
        <x:is>
          <x:t xml:space="preserve">Optimal Combination</x:t>
        </x:is>
      </x:c>
      <x:c r="I4" s="25" t="str">
        <x:f>INDEX(A5:A7,MATCH(MIN(D5:D7),D5:D7,0))</x:f>
        <x:v>F1 + F3</x:v>
      </x:c>
    </x:row>
    <x:row r="5">
      <x:c r="A5" s="3" t="inlineStr">
        <x:is>
          <x:t xml:space="preserve">F1 + F2</x:t>
        </x:is>
      </x:c>
      <x:c r="B5" s="70">
        <x:f>Base_F1_F2!O4</x:f>
        <x:v>9000</x:v>
      </x:c>
      <x:c r="C5" s="70">
        <x:f>Base_F1_F2!O5</x:f>
        <x:v>4181.2146</x:v>
      </x:c>
      <x:c r="D5" s="70">
        <x:f>Base_F1_F2!O6</x:f>
        <x:v>13181.2146</x:v>
      </x:c>
      <x:c r="E5" s="10" t="str">
        <x:f>Base_F1_F2!O12</x:f>
        <x:v>OK</x:v>
      </x:c>
      <x:c r="F5" s="10" t="inlineStr">
        <x:is>
          <x:t xml:space="preserve">Base_F1_F2</x:t>
        </x:is>
      </x:c>
      <x:c r="H5" s="16" t="inlineStr">
        <x:is>
          <x:t xml:space="preserve">Optimal Total Cost</x:t>
        </x:is>
      </x:c>
      <x:c r="I5" s="72">
        <x:f>MIN(D5:D7)</x:f>
        <x:v>11476.31465</x:v>
      </x:c>
    </x:row>
    <x:row r="6">
      <x:c r="A6" s="3" t="inlineStr">
        <x:is>
          <x:t xml:space="preserve">F1 + F3</x:t>
        </x:is>
      </x:c>
      <x:c r="B6" s="70">
        <x:f>Base_F1_F3!L4</x:f>
        <x:v>7500</x:v>
      </x:c>
      <x:c r="C6" s="70">
        <x:f>Base_F1_F3!L5</x:f>
        <x:v>3976.3146500000007</x:v>
      </x:c>
      <x:c r="D6" s="70">
        <x:f>Base_F1_F3!L6</x:f>
        <x:v>11476.31465</x:v>
      </x:c>
      <x:c r="E6" s="10" t="str">
        <x:f>Base_F1_F3!L12</x:f>
        <x:v>OK</x:v>
      </x:c>
      <x:c r="F6" s="10" t="inlineStr">
        <x:is>
          <x:t xml:space="preserve">Base_F1_F3</x:t>
        </x:is>
      </x:c>
      <x:c r="H6" s="16" t="inlineStr">
        <x:is>
          <x:t xml:space="preserve">Variable Cost</x:t>
        </x:is>
      </x:c>
      <x:c r="I6" s="72">
        <x:f>INDEX(C5:C7,MATCH(MIN(D5:D7),D5:D7,0))</x:f>
        <x:v>3976.3146500000007</x:v>
      </x:c>
    </x:row>
    <x:row r="7">
      <x:c r="A7" s="3" t="inlineStr">
        <x:is>
          <x:t xml:space="preserve">F1 + F4</x:t>
        </x:is>
      </x:c>
      <x:c r="B7" s="70">
        <x:f>Base_F1_F4!L4</x:f>
        <x:v>8000</x:v>
      </x:c>
      <x:c r="C7" s="70">
        <x:f>Base_F1_F4!L5</x:f>
        <x:v>4654.5341</x:v>
      </x:c>
      <x:c r="D7" s="70">
        <x:f>Base_F1_F4!L6</x:f>
        <x:v>12654.5341</x:v>
      </x:c>
      <x:c r="E7" s="10" t="str">
        <x:f>Base_F1_F4!L12</x:f>
        <x:v>OK</x:v>
      </x:c>
      <x:c r="F7" s="10" t="inlineStr">
        <x:is>
          <x:t xml:space="preserve">Base_F1_F4</x:t>
        </x:is>
      </x:c>
      <x:c r="H7" s="16" t="inlineStr">
        <x:is>
          <x:t xml:space="preserve">Fixed Cost</x:t>
        </x:is>
      </x:c>
      <x:c r="I7" s="72">
        <x:f>INDEX(B5:B7,MATCH(MIN(D5:D7),D5:D7,0))</x:f>
        <x:v>7500</x:v>
      </x:c>
    </x:row>
  </x:sheetData>
  <x:mergeCells>
    <x:mergeCell ref="A3:F3"/>
    <x:mergeCell ref="H3:I3"/>
  </x:mergeCells>
  <x:pageMargins left="0.7" right="0.7" top="0.75" bottom="0.75" header="0.3" footer="0.3"/>
  <x:legacyDrawing xmlns:r="http://schemas.openxmlformats.org/officeDocument/2006/relationships" r:id="R15647996eb4845b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style="38" customWidth="1"/>
    <x:col min="2" max="2" width="14" style="38" customWidth="1"/>
    <x:col min="3" max="3" width="20" style="38" customWidth="1"/>
    <x:col min="4" max="4" width="24" style="38" customWidth="1"/>
    <x:col min="5" max="5" width="22" style="38" customWidth="1"/>
    <x:col min="6" max="6" width="14" style="38" customWidth="1"/>
    <x:col min="8" max="8" width="20" style="38" customWidth="1"/>
    <x:col min="9" max="9" width="30" style="38" customWidth="1"/>
  </x:cols>
  <x:sheetData>
    <x:row r="1" s="38" customFormat="1" ht="18.75" customHeight="1">
      <x:c r="A1" s="1" t="inlineStr">
        <x:is>
          <x:t xml:space="preserve">Scenario 1 - Lower Transport Coefficient (c = 0.10)</x:t>
        </x:is>
      </x:c>
    </x:row>
    <x:row r="3">
      <x:c r="A3" s="37" t="inlineStr">
        <x:is>
          <x:t xml:space="preserve">Scenario Driver</x:t>
        </x:is>
      </x:c>
      <x:c r="H3" s="39" t="inlineStr">
        <x:is>
          <x:t xml:space="preserve">Scenario Result</x:t>
        </x:is>
      </x:c>
    </x:row>
    <x:row r="4">
      <x:c r="A4" s="4" t="inlineStr">
        <x:is>
          <x:t xml:space="preserve">Base coefficient, c_base</x:t>
        </x:is>
      </x:c>
      <x:c r="B4" s="35">
        <x:f>Inputs!B4</x:f>
        <x:v>0.12</x:v>
      </x:c>
      <x:c r="H4" s="16" t="inlineStr">
        <x:is>
          <x:t xml:space="preserve">Optimal Combination</x:t>
        </x:is>
      </x:c>
      <x:c r="I4" s="25" t="str">
        <x:f>INDEX(A11:A13,MATCH(MIN(E11:E13),E11:E13,0))</x:f>
        <x:v>F1 + F3</x:v>
      </x:c>
    </x:row>
    <x:row r="5">
      <x:c r="A5" s="4" t="inlineStr">
        <x:is>
          <x:t xml:space="preserve">Scenario 1 coefficient</x:t>
        </x:is>
      </x:c>
      <x:c r="B5" s="35">
        <x:f>Inputs!B5</x:f>
        <x:v>0.1</x:v>
      </x:c>
      <x:c r="H5" s="73" t="inlineStr">
        <x:is>
          <x:t xml:space="preserve">Optimal Total Cost</x:t>
        </x:is>
      </x:c>
      <x:c r="I5" s="33">
        <x:f>MIN(E11:E13)</x:f>
        <x:v>10830.284650000001</x:v>
      </x:c>
    </x:row>
    <x:row r="6">
      <x:c r="A6" s="4" t="inlineStr">
        <x:is>
          <x:t xml:space="preserve">Scaling ratio</x:t>
        </x:is>
      </x:c>
      <x:c r="B6" s="36">
        <x:f>(B5+Inputs!N6)/Inputs!N7</x:f>
        <x:v>0.8375304630381805</x:v>
      </x:c>
      <x:c r="H6" s="16" t="inlineStr">
        <x:is>
          <x:t xml:space="preserve">Conclusion</x:t>
        </x:is>
      </x:c>
      <x:c r="I6" s="25" t="inlineStr">
        <x:is>
          <x:t xml:space="preserve">Optimal solution remains F1 + F3.</x:t>
        </x:is>
      </x:c>
    </x:row>
    <x:row r="9">
      <x:c r="A9" s="37" t="inlineStr">
        <x:is>
          <x:t xml:space="preserve">Updated Cost Comparison</x:t>
        </x:is>
      </x:c>
    </x:row>
    <x:row r="10">
      <x:c r="A10" s="6" t="inlineStr">
        <x:is>
          <x:t xml:space="preserve">Combination</x:t>
        </x:is>
      </x:c>
      <x:c r="B10" s="7" t="inlineStr">
        <x:is>
          <x:t xml:space="preserve">Fixed Cost (USD)</x:t>
        </x:is>
      </x:c>
      <x:c r="C10" s="7" t="inlineStr">
        <x:is>
          <x:t xml:space="preserve">Base Variable Cost (USD)</x:t>
        </x:is>
      </x:c>
      <x:c r="D10" s="7" t="inlineStr">
        <x:is>
          <x:t xml:space="preserve">Scenario 1 Variable Cost (USD)</x:t>
        </x:is>
      </x:c>
      <x:c r="E10" s="7" t="inlineStr">
        <x:is>
          <x:t xml:space="preserve">Scenario 1 Total Cost (USD)</x:t>
        </x:is>
      </x:c>
      <x:c r="F10" s="7" t="inlineStr">
        <x:is>
          <x:t xml:space="preserve">Optimal?</x:t>
        </x:is>
      </x:c>
    </x:row>
    <x:row r="11">
      <x:c r="A11" s="3" t="str">
        <x:f>Base_Summary!A5</x:f>
        <x:v>F1 + F2</x:v>
      </x:c>
      <x:c r="B11" s="70">
        <x:f>Base_Summary!B5</x:f>
        <x:v>9000</x:v>
      </x:c>
      <x:c r="C11" s="70">
        <x:f>Base_Summary!C5</x:f>
        <x:v>4181.2146</x:v>
      </x:c>
      <x:c r="D11" s="70">
        <x:f>C11*$B$6</x:f>
        <x:v>3501.8946000000005</x:v>
      </x:c>
      <x:c r="E11" s="70">
        <x:f>B11+D11</x:f>
        <x:v>12501.8946</x:v>
      </x:c>
      <x:c r="F11" s="10">
        <x:f>IF(E11=MIN($E$11:$E$13),"Yes","")</x:f>
      </x:c>
    </x:row>
    <x:row r="12">
      <x:c r="A12" s="3" t="str">
        <x:f>Base_Summary!A6</x:f>
        <x:v>F1 + F3</x:v>
      </x:c>
      <x:c r="B12" s="70">
        <x:f>Base_Summary!B6</x:f>
        <x:v>7500</x:v>
      </x:c>
      <x:c r="C12" s="70">
        <x:f>Base_Summary!C6</x:f>
        <x:v>3976.3146500000007</x:v>
      </x:c>
      <x:c r="D12" s="70">
        <x:f>C12*$B$6</x:f>
        <x:v>3330.284650000001</x:v>
      </x:c>
      <x:c r="E12" s="70">
        <x:f>B12+D12</x:f>
        <x:v>10830.284650000001</x:v>
      </x:c>
      <x:c r="F12" s="10" t="str">
        <x:f>IF(E12=MIN($E$11:$E$13),"Yes","")</x:f>
        <x:v>Yes</x:v>
      </x:c>
    </x:row>
    <x:row r="13">
      <x:c r="A13" s="3" t="str">
        <x:f>Base_Summary!A7</x:f>
        <x:v>F1 + F4</x:v>
      </x:c>
      <x:c r="B13" s="70">
        <x:f>Base_Summary!B7</x:f>
        <x:v>8000</x:v>
      </x:c>
      <x:c r="C13" s="70">
        <x:f>Base_Summary!C7</x:f>
        <x:v>4654.5341</x:v>
      </x:c>
      <x:c r="D13" s="70">
        <x:f>C13*$B$6</x:f>
        <x:v>3898.3141000000005</x:v>
      </x:c>
      <x:c r="E13" s="70">
        <x:f>B13+D13</x:f>
        <x:v>11898.3141</x:v>
      </x:c>
      <x:c r="F13" s="10">
        <x:f>IF(E13=MIN($E$11:$E$13),"Yes","")</x:f>
      </x:c>
    </x:row>
  </x:sheetData>
  <x:mergeCells>
    <x:mergeCell ref="A3:D3"/>
    <x:mergeCell ref="A9:F9"/>
    <x:mergeCell ref="H3:I3"/>
  </x:mergeCells>
  <x:pageMargins left="0.7" right="0.7" top="0.75" bottom="0.75" header="0.3" footer="0.3"/>
  <x:legacyDrawing xmlns:r="http://schemas.openxmlformats.org/officeDocument/2006/relationships" r:id="Rbcd05fd30d934a96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style="38" customWidth="1"/>
    <x:col min="2" max="2" width="14" style="38" customWidth="1"/>
    <x:col min="3" max="3" width="20" style="38" customWidth="1"/>
    <x:col min="4" max="4" width="24" style="38" customWidth="1"/>
    <x:col min="5" max="5" width="22" style="38" customWidth="1"/>
    <x:col min="6" max="6" width="14" style="38" customWidth="1"/>
    <x:col min="8" max="8" width="20" style="38" customWidth="1"/>
    <x:col min="9" max="9" width="30" style="38" customWidth="1"/>
  </x:cols>
  <x:sheetData>
    <x:row r="1" s="38" customFormat="1" ht="18.75" customHeight="1">
      <x:c r="A1" s="1" t="inlineStr">
        <x:is>
          <x:t xml:space="preserve">Scenario 2 - Higher Transport Coefficient (c = 0.15)</x:t>
        </x:is>
      </x:c>
    </x:row>
    <x:row r="3">
      <x:c r="A3" s="37" t="inlineStr">
        <x:is>
          <x:t xml:space="preserve">Scenario Driver</x:t>
        </x:is>
      </x:c>
      <x:c r="H3" s="39" t="inlineStr">
        <x:is>
          <x:t xml:space="preserve">Scenario Result</x:t>
        </x:is>
      </x:c>
    </x:row>
    <x:row r="4">
      <x:c r="A4" s="4" t="inlineStr">
        <x:is>
          <x:t xml:space="preserve">Base coefficient, c_base</x:t>
        </x:is>
      </x:c>
      <x:c r="B4" s="35">
        <x:f>Inputs!B4</x:f>
        <x:v>0.12</x:v>
      </x:c>
      <x:c r="H4" s="16" t="inlineStr">
        <x:is>
          <x:t xml:space="preserve">Optimal Combination</x:t>
        </x:is>
      </x:c>
      <x:c r="I4" s="25" t="str">
        <x:f>INDEX(A11:A13,MATCH(MIN(E11:E13),E11:E13,0))</x:f>
        <x:v>F1 + F3</x:v>
      </x:c>
    </x:row>
    <x:row r="5">
      <x:c r="A5" s="4" t="inlineStr">
        <x:is>
          <x:t xml:space="preserve">Scenario 2 coefficient</x:t>
        </x:is>
      </x:c>
      <x:c r="B5" s="35">
        <x:f>Inputs!B6</x:f>
        <x:v>0.15</x:v>
      </x:c>
      <x:c r="H5" s="73" t="inlineStr">
        <x:is>
          <x:t xml:space="preserve">Optimal Total Cost</x:t>
        </x:is>
      </x:c>
      <x:c r="I5" s="33">
        <x:f>MIN(E11:E13)</x:f>
        <x:v>12445.359650000002</x:v>
      </x:c>
    </x:row>
    <x:row r="6">
      <x:c r="A6" s="4" t="inlineStr">
        <x:is>
          <x:t xml:space="preserve">Scaling ratio</x:t>
        </x:is>
      </x:c>
      <x:c r="B6" s="36">
        <x:f>(B5+Inputs!N6)/Inputs!N7</x:f>
        <x:v>1.2437043054427295</x:v>
      </x:c>
      <x:c r="H6" s="16" t="inlineStr">
        <x:is>
          <x:t xml:space="preserve">Conclusion</x:t>
        </x:is>
      </x:c>
      <x:c r="I6" s="25" t="inlineStr">
        <x:is>
          <x:t xml:space="preserve">Optimal solution remains F1 + F3.</x:t>
        </x:is>
      </x:c>
    </x:row>
    <x:row r="9">
      <x:c r="A9" s="37" t="inlineStr">
        <x:is>
          <x:t xml:space="preserve">Updated Cost Comparison</x:t>
        </x:is>
      </x:c>
    </x:row>
    <x:row r="10">
      <x:c r="A10" s="6" t="inlineStr">
        <x:is>
          <x:t xml:space="preserve">Combination</x:t>
        </x:is>
      </x:c>
      <x:c r="B10" s="7" t="inlineStr">
        <x:is>
          <x:t xml:space="preserve">Fixed Cost (USD)</x:t>
        </x:is>
      </x:c>
      <x:c r="C10" s="7" t="inlineStr">
        <x:is>
          <x:t xml:space="preserve">Base Variable Cost (USD)</x:t>
        </x:is>
      </x:c>
      <x:c r="D10" s="7" t="inlineStr">
        <x:is>
          <x:t xml:space="preserve">Scenario 2 Variable Cost (USD)</x:t>
        </x:is>
      </x:c>
      <x:c r="E10" s="7" t="inlineStr">
        <x:is>
          <x:t xml:space="preserve">Scenario 2 Total Cost (USD)</x:t>
        </x:is>
      </x:c>
      <x:c r="F10" s="7" t="inlineStr">
        <x:is>
          <x:t xml:space="preserve">Optimal?</x:t>
        </x:is>
      </x:c>
    </x:row>
    <x:row r="11">
      <x:c r="A11" s="3" t="str">
        <x:f>Base_Summary!A5</x:f>
        <x:v>F1 + F2</x:v>
      </x:c>
      <x:c r="B11" s="70">
        <x:f>Base_Summary!B5</x:f>
        <x:v>9000</x:v>
      </x:c>
      <x:c r="C11" s="70">
        <x:f>Base_Summary!C5</x:f>
        <x:v>4181.2146</x:v>
      </x:c>
      <x:c r="D11" s="70">
        <x:f>C11*$B$6</x:f>
        <x:v>5200.1946</x:v>
      </x:c>
      <x:c r="E11" s="70">
        <x:f>B11+D11</x:f>
        <x:v>14200.194599999999</x:v>
      </x:c>
      <x:c r="F11" s="10">
        <x:f>IF(E11=MIN($E$11:$E$13),"Yes","")</x:f>
      </x:c>
    </x:row>
    <x:row r="12">
      <x:c r="A12" s="3" t="str">
        <x:f>Base_Summary!A6</x:f>
        <x:v>F1 + F3</x:v>
      </x:c>
      <x:c r="B12" s="70">
        <x:f>Base_Summary!B6</x:f>
        <x:v>7500</x:v>
      </x:c>
      <x:c r="C12" s="70">
        <x:f>Base_Summary!C6</x:f>
        <x:v>3976.3146500000007</x:v>
      </x:c>
      <x:c r="D12" s="70">
        <x:f>C12*$B$6</x:f>
        <x:v>4945.359650000001</x:v>
      </x:c>
      <x:c r="E12" s="70">
        <x:f>B12+D12</x:f>
        <x:v>12445.359650000002</x:v>
      </x:c>
      <x:c r="F12" s="10" t="str">
        <x:f>IF(E12=MIN($E$11:$E$13),"Yes","")</x:f>
        <x:v>Yes</x:v>
      </x:c>
    </x:row>
    <x:row r="13">
      <x:c r="A13" s="3" t="str">
        <x:f>Base_Summary!A7</x:f>
        <x:v>F1 + F4</x:v>
      </x:c>
      <x:c r="B13" s="70">
        <x:f>Base_Summary!B7</x:f>
        <x:v>8000</x:v>
      </x:c>
      <x:c r="C13" s="70">
        <x:f>Base_Summary!C7</x:f>
        <x:v>4654.5341</x:v>
      </x:c>
      <x:c r="D13" s="70">
        <x:f>C13*$B$6</x:f>
        <x:v>5788.8641</x:v>
      </x:c>
      <x:c r="E13" s="70">
        <x:f>B13+D13</x:f>
        <x:v>13788.864099999999</x:v>
      </x:c>
      <x:c r="F13" s="10">
        <x:f>IF(E13=MIN($E$11:$E$13),"Yes","")</x:f>
      </x:c>
    </x:row>
  </x:sheetData>
  <x:mergeCells>
    <x:mergeCell ref="A3:D3"/>
    <x:mergeCell ref="A9:F9"/>
    <x:mergeCell ref="H3:I3"/>
  </x:mergeCells>
  <x:pageMargins left="0.7" right="0.7" top="0.75" bottom="0.75" header="0.3" footer="0.3"/>
  <x:legacyDrawing xmlns:r="http://schemas.openxmlformats.org/officeDocument/2006/relationships" r:id="R842f0350cbd64d9b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3.85546875" style="38" customWidth="1"/>
    <x:col min="2" max="2" width="13.42578125" style="38" customWidth="1"/>
    <x:col min="3" max="4" width="11.5703125" style="38" customWidth="1"/>
    <x:col min="5" max="5" width="16.42578125" style="38" customWidth="1"/>
    <x:col min="6" max="7" width="10.85546875" style="38" customWidth="1"/>
    <x:col min="8" max="8" width="19.28515625" style="38" customWidth="1"/>
    <x:col min="9" max="9" width="11.5703125" style="38" customWidth="1"/>
    <x:col min="10" max="11" width="10" style="38" customWidth="1"/>
    <x:col min="12" max="12" width="18.28515625" style="38" customWidth="1"/>
    <x:col min="14" max="14" width="20.28515625" style="38" customWidth="1"/>
    <x:col min="15" max="15" width="57.28515625" style="38" customWidth="1"/>
    <x:col min="16" max="16" width="18.42578125" style="38" customWidth="1"/>
    <x:col min="17" max="17" width="9.42578125" style="38" customWidth="1"/>
  </x:cols>
  <x:sheetData>
    <x:row r="1" s="38" customFormat="1" ht="18.75" customHeight="1">
      <x:c r="A1" s="1" t="inlineStr">
        <x:is>
          <x:t xml:space="preserve">Scenario 3 - Capacity Reduction in F1</x:t>
        </x:is>
      </x:c>
    </x:row>
    <x:row r="3">
      <x:c r="A3" s="37" t="inlineStr">
        <x:is>
          <x:t xml:space="preserve">Controls</x:t>
        </x:is>
      </x:c>
      <x:c r="N3" s="39" t="inlineStr">
        <x:is>
          <x:t xml:space="preserve">Cost Summary</x:t>
        </x:is>
      </x:c>
    </x:row>
    <x:row r="4">
      <x:c r="A4" s="4" t="inlineStr">
        <x:is>
          <x:t xml:space="preserve">F1 capacity (ton)</x:t>
        </x:is>
      </x:c>
      <x:c r="B4" s="5">
        <x:f>Inputs!H12</x:f>
        <x:v>150</x:v>
      </x:c>
      <x:c r="N4" s="16" t="inlineStr">
        <x:is>
          <x:t xml:space="preserve">Fixed Cost</x:t>
        </x:is>
      </x:c>
      <x:c r="O4" s="64">
        <x:f>B6+B7</x:f>
        <x:v>9000</x:v>
      </x:c>
    </x:row>
    <x:row r="5">
      <x:c r="A5" s="4" t="inlineStr">
        <x:is>
          <x:t xml:space="preserve">F2 capacity (ton)</x:t>
        </x:is>
      </x:c>
      <x:c r="B5" s="5">
        <x:f>Inputs!G13</x:f>
        <x:v>150</x:v>
      </x:c>
      <x:c r="N5" s="16" t="inlineStr">
        <x:is>
          <x:t xml:space="preserve">Variable Cost</x:t>
        </x:is>
      </x:c>
      <x:c r="O5" s="64">
        <x:f>L20</x:f>
        <x:v>4181.2146</x:v>
      </x:c>
    </x:row>
    <x:row r="6">
      <x:c r="A6" s="4" t="inlineStr">
        <x:is>
          <x:t xml:space="preserve">Fixed cost of F1 (USD)</x:t>
        </x:is>
      </x:c>
      <x:c r="B6" s="19">
        <x:f>Inputs!F12</x:f>
        <x:v>5000</x:v>
      </x:c>
      <x:c r="N6" s="16" t="inlineStr">
        <x:is>
          <x:t xml:space="preserve">Total Cost</x:t>
        </x:is>
      </x:c>
      <x:c r="O6" s="64">
        <x:f>O4+O5</x:f>
        <x:v>13181.2146</x:v>
      </x:c>
    </x:row>
    <x:row r="7">
      <x:c r="A7" s="4" t="inlineStr">
        <x:is>
          <x:t xml:space="preserve">Fixed cost of F2 (USD)</x:t>
        </x:is>
      </x:c>
      <x:c r="B7" s="19">
        <x:f>Inputs!F13</x:f>
        <x:v>4000</x:v>
      </x:c>
      <x:c r="N7" s="20" t="n"/>
      <x:c r="O7" s="21" t="n"/>
    </x:row>
    <x:row r="8">
      <x:c r="A8" s="4" t="inlineStr">
        <x:is>
          <x:t xml:space="preserve">Initial load on F1 before shifting</x:t>
        </x:is>
      </x:c>
      <x:c r="B8" s="22">
        <x:f>SUM(F14:F19)</x:f>
        <x:v>100.6</x:v>
      </x:c>
      <x:c r="N8" s="16" t="inlineStr">
        <x:is>
          <x:t xml:space="preserve">Final Load on F1</x:t>
        </x:is>
      </x:c>
      <x:c r="O8" s="23">
        <x:f>J20</x:f>
        <x:v>137.50000000000003</x:v>
      </x:c>
    </x:row>
    <x:row r="9">
      <x:c r="A9" s="4" t="inlineStr">
        <x:is>
          <x:t xml:space="preserve">Initial load on F2 before shifting</x:t>
        </x:is>
      </x:c>
      <x:c r="B9" s="22">
        <x:f>SUM(G14:G19)</x:f>
        <x:v>186.90000000000003</x:v>
      </x:c>
      <x:c r="N9" s="16" t="inlineStr">
        <x:is>
          <x:t xml:space="preserve">Final Load on F2</x:t>
        </x:is>
      </x:c>
      <x:c r="O9" s="23">
        <x:f>K20</x:f>
        <x:v>149.99999999999997</x:v>
      </x:c>
    </x:row>
    <x:row r="10">
      <x:c r="A10" s="4" t="inlineStr">
        <x:is>
          <x:t xml:space="preserve">Shift required from F2 to F1</x:t>
        </x:is>
      </x:c>
      <x:c r="B10" s="22">
        <x:f>MIN(MAX(0,B9-B5),MAX(0,B4-B8))</x:f>
        <x:v>36.900000000000034</x:v>
      </x:c>
      <x:c r="N10" s="16" t="inlineStr">
        <x:is>
          <x:t xml:space="preserve">Utilization F1</x:t>
        </x:is>
      </x:c>
      <x:c r="O10" s="24">
        <x:f>O8/B4</x:f>
        <x:v>0.9166666666666669</x:v>
      </x:c>
    </x:row>
    <x:row r="11">
      <x:c r="N11" s="16" t="inlineStr">
        <x:is>
          <x:t xml:space="preserve">Utilization F2</x:t>
        </x:is>
      </x:c>
      <x:c r="O11" s="24">
        <x:f>O9/B5</x:f>
        <x:v>0.9999999999999998</x:v>
      </x:c>
    </x:row>
    <x:row r="12">
      <x:c r="A12" s="37" t="inlineStr">
        <x:is>
          <x:t xml:space="preserve">Flow Allocation Table</x:t>
        </x:is>
      </x:c>
      <x:c r="N12" s="16" t="inlineStr">
        <x:is>
          <x:t xml:space="preserve">Feasibility Check</x:t>
        </x:is>
      </x:c>
      <x:c r="O12" s="25" t="str">
        <x:f>IF(AND(ABS(B20-J20-K20)&lt;0.001,O8&lt;=B4+0.001,O9&lt;=B5+0.001),"OK","CHECK")</x:f>
        <x:v>OK</x:v>
      </x:c>
    </x:row>
    <x:row r="13">
      <x:c r="A13" s="6" t="inlineStr">
        <x:is>
          <x:t xml:space="preserve">City</x:t>
        </x:is>
      </x:c>
      <x:c r="B13" s="7" t="inlineStr">
        <x:is>
          <x:t xml:space="preserve">Demand (ton)</x:t>
        </x:is>
      </x:c>
      <x:c r="C13" s="7" t="inlineStr">
        <x:is>
          <x:t xml:space="preserve">Unit Cost F1</x:t>
        </x:is>
      </x:c>
      <x:c r="D13" s="7" t="inlineStr">
        <x:is>
          <x:t xml:space="preserve">Unit Cost F2</x:t>
        </x:is>
      </x:c>
      <x:c r="E13" s="7" t="inlineStr">
        <x:is>
          <x:t xml:space="preserve">Preferred Facility</x:t>
        </x:is>
      </x:c>
      <x:c r="F13" s="7" t="inlineStr">
        <x:is>
          <x:t xml:space="preserve">Initial to F1</x:t>
        </x:is>
      </x:c>
      <x:c r="G13" s="7" t="inlineStr">
        <x:is>
          <x:t xml:space="preserve">Initial to F2</x:t>
        </x:is>
      </x:c>
      <x:c r="H13" s="7" t="inlineStr">
        <x:is>
          <x:t xml:space="preserve">Delta if Shifted to F1</x:t>
        </x:is>
      </x:c>
      <x:c r="I13" s="7" t="inlineStr">
        <x:is>
          <x:t xml:space="preserve">Shift F2→F1</x:t>
        </x:is>
      </x:c>
      <x:c r="J13" s="7" t="inlineStr">
        <x:is>
          <x:t xml:space="preserve">Final to F1</x:t>
        </x:is>
      </x:c>
      <x:c r="K13" s="7" t="inlineStr">
        <x:is>
          <x:t xml:space="preserve">Final to F2</x:t>
        </x:is>
      </x:c>
      <x:c r="L13" s="7" t="inlineStr">
        <x:is>
          <x:t xml:space="preserve">Row Variable Cost</x:t>
        </x:is>
      </x:c>
    </x:row>
    <x:row r="14">
      <x:c r="A14" s="3" t="inlineStr">
        <x:is>
          <x:t xml:space="preserve">Istanbul</x:t>
        </x:is>
      </x:c>
      <x:c r="B14" s="26">
        <x:f>Inputs!B12</x:f>
        <x:v>100.6</x:v>
      </x:c>
      <x:c r="C14" s="26">
        <x:f>Inputs!H23</x:f>
        <x:v>1.231</x:v>
      </x:c>
      <x:c r="D14" s="26">
        <x:f>Inputs!I23</x:f>
        <x:v>10.4635</x:v>
      </x:c>
      <x:c r="E14" s="10" t="str">
        <x:f>IF(C14&lt;=D14,"F1","F2")</x:f>
        <x:v>F1</x:v>
      </x:c>
      <x:c r="F14" s="26">
        <x:f>IF(E14="F1",B14,0)</x:f>
        <x:v>100.6</x:v>
      </x:c>
      <x:c r="G14" s="26">
        <x:f>B14-F14</x:f>
        <x:v>0</x:v>
      </x:c>
      <x:c r="H14" s="26">
        <x:f>C14-D14</x:f>
        <x:v>-9.2325</x:v>
      </x:c>
      <x:c r="I14" s="26" t="n">
        <x:v>0</x:v>
      </x:c>
      <x:c r="J14" s="26">
        <x:f>F14+I14</x:f>
        <x:v>100.6</x:v>
      </x:c>
      <x:c r="K14" s="26">
        <x:f>G14-I14</x:f>
        <x:v>0</x:v>
      </x:c>
      <x:c r="L14" s="70">
        <x:f>J14*C14+K14*D14</x:f>
        <x:v>123.8386</x:v>
      </x:c>
    </x:row>
    <x:row r="15">
      <x:c r="A15" s="3" t="inlineStr">
        <x:is>
          <x:t xml:space="preserve">Kocaeli</x:t>
        </x:is>
      </x:c>
      <x:c r="B15" s="26">
        <x:f>Inputs!B13</x:f>
        <x:v>71.9</x:v>
      </x:c>
      <x:c r="C15" s="26">
        <x:f>Inputs!H24</x:f>
        <x:v>10.4635</x:v>
      </x:c>
      <x:c r="D15" s="26">
        <x:f>Inputs!I24</x:f>
        <x:v>1.231</x:v>
      </x:c>
      <x:c r="E15" s="10" t="str">
        <x:f>IF(C15&lt;=D15,"F1","F2")</x:f>
        <x:v>F2</x:v>
      </x:c>
      <x:c r="F15" s="26">
        <x:f>IF(E15="F1",B15,0)</x:f>
        <x:v>0</x:v>
      </x:c>
      <x:c r="G15" s="26">
        <x:f>B15-F15</x:f>
        <x:v>71.9</x:v>
      </x:c>
      <x:c r="H15" s="26">
        <x:f>C15-D15</x:f>
        <x:v>9.2325</x:v>
      </x:c>
      <x:c r="I15" s="26" t="n">
        <x:v>0</x:v>
      </x:c>
      <x:c r="J15" s="26">
        <x:f>F15+I15</x:f>
        <x:v>0</x:v>
      </x:c>
      <x:c r="K15" s="26">
        <x:f>G15-I15</x:f>
        <x:v>71.9</x:v>
      </x:c>
      <x:c r="L15" s="70">
        <x:f>J15*C15+K15*D15</x:f>
        <x:v>88.50890000000001</x:v>
      </x:c>
      <x:c r="N15" s="39" t="inlineStr">
        <x:is>
          <x:t xml:space="preserve">Feasible Pair Check</x:t>
        </x:is>
      </x:c>
    </x:row>
    <x:row r="16">
      <x:c r="A16" s="3" t="inlineStr">
        <x:is>
          <x:t xml:space="preserve">Bursa</x:t>
        </x:is>
      </x:c>
      <x:c r="B16" s="26">
        <x:f>Inputs!B14</x:f>
        <x:v>43.1</x:v>
      </x:c>
      <x:c r="C16" s="26">
        <x:f>Inputs!H25</x:f>
        <x:v>18.465</x:v>
      </x:c>
      <x:c r="D16" s="26">
        <x:f>Inputs!I25</x:f>
        <x:v>16.003</x:v>
      </x:c>
      <x:c r="E16" s="10" t="str">
        <x:f>IF(C16&lt;=D16,"F1","F2")</x:f>
        <x:v>F2</x:v>
      </x:c>
      <x:c r="F16" s="26">
        <x:f>IF(E16="F1",B16,0)</x:f>
        <x:v>0</x:v>
      </x:c>
      <x:c r="G16" s="26">
        <x:f>B16-F16</x:f>
        <x:v>43.1</x:v>
      </x:c>
      <x:c r="H16" s="26">
        <x:f>C16-D16</x:f>
        <x:v>2.4619999999999997</x:v>
      </x:c>
      <x:c r="I16" s="26">
        <x:f>MIN(G16,$B$10)</x:f>
        <x:v>36.900000000000034</x:v>
      </x:c>
      <x:c r="J16" s="26">
        <x:f>F16+I16</x:f>
        <x:v>36.900000000000034</x:v>
      </x:c>
      <x:c r="K16" s="26">
        <x:f>G16-I16</x:f>
        <x:v>6.199999999999967</x:v>
      </x:c>
      <x:c r="L16" s="70">
        <x:f>J16*C16+K16*D16</x:f>
        <x:v>780.5771000000001</x:v>
      </x:c>
      <x:c r="N16" s="7" t="inlineStr">
        <x:is>
          <x:t xml:space="preserve">Pair</x:t>
        </x:is>
      </x:c>
      <x:c r="O16" s="7" t="inlineStr">
        <x:is>
          <x:t xml:space="preserve">Available Capacity (ton)</x:t>
        </x:is>
      </x:c>
      <x:c r="P16" s="7" t="inlineStr">
        <x:is>
          <x:t xml:space="preserve">Total Demand (ton)</x:t>
        </x:is>
      </x:c>
      <x:c r="Q16" s="7" t="inlineStr">
        <x:is>
          <x:t xml:space="preserve">Feasible?</x:t>
        </x:is>
      </x:c>
    </x:row>
    <x:row r="17">
      <x:c r="A17" s="3" t="inlineStr">
        <x:is>
          <x:t xml:space="preserve">Izmir</x:t>
        </x:is>
      </x:c>
      <x:c r="B17" s="26">
        <x:f>Inputs!B15</x:f>
        <x:v>28.8</x:v>
      </x:c>
      <x:c r="C17" s="26">
        <x:f>Inputs!H26</x:f>
        <x:v>59.088</x:v>
      </x:c>
      <x:c r="D17" s="26">
        <x:f>Inputs!I26</x:f>
        <x:v>55.395</x:v>
      </x:c>
      <x:c r="E17" s="10" t="str">
        <x:f>IF(C17&lt;=D17,"F1","F2")</x:f>
        <x:v>F2</x:v>
      </x:c>
      <x:c r="F17" s="26">
        <x:f>IF(E17="F1",B17,0)</x:f>
        <x:v>0</x:v>
      </x:c>
      <x:c r="G17" s="26">
        <x:f>B17-F17</x:f>
        <x:v>28.8</x:v>
      </x:c>
      <x:c r="H17" s="26">
        <x:f>C17-D17</x:f>
        <x:v>3.692999999999998</x:v>
      </x:c>
      <x:c r="I17" s="26">
        <x:f>MIN(G17,MAX(0,$B$10-I16))</x:f>
        <x:v>0</x:v>
      </x:c>
      <x:c r="J17" s="26">
        <x:f>F17+I17</x:f>
        <x:v>0</x:v>
      </x:c>
      <x:c r="K17" s="26">
        <x:f>G17-I17</x:f>
        <x:v>28.8</x:v>
      </x:c>
      <x:c r="L17" s="70">
        <x:f>J17*C17+K17*D17</x:f>
        <x:v>1595.3760000000002</x:v>
      </x:c>
      <x:c r="N17" s="10" t="inlineStr">
        <x:is>
          <x:t xml:space="preserve">F1 + F2</x:t>
        </x:is>
      </x:c>
      <x:c r="O17" s="26">
        <x:f>B4+Inputs!G13</x:f>
        <x:v>300</x:v>
      </x:c>
      <x:c r="P17" s="26">
        <x:f>B20</x:f>
        <x:v>287.5</x:v>
      </x:c>
      <x:c r="Q17" s="10" t="str">
        <x:f>IF(O17&gt;=P17,"Yes","No")</x:f>
        <x:v>Yes</x:v>
      </x:c>
    </x:row>
    <x:row r="18">
      <x:c r="A18" s="3" t="inlineStr">
        <x:is>
          <x:t xml:space="preserve">Ankara</x:t>
        </x:is>
      </x:c>
      <x:c r="B18" s="26">
        <x:f>Inputs!B16</x:f>
        <x:v>28.8</x:v>
      </x:c>
      <x:c r="C18" s="26">
        <x:f>Inputs!H27</x:f>
        <x:v>55.395</x:v>
      </x:c>
      <x:c r="D18" s="26">
        <x:f>Inputs!I27</x:f>
        <x:v>43.085</x:v>
      </x:c>
      <x:c r="E18" s="10" t="str">
        <x:f>IF(C18&lt;=D18,"F1","F2")</x:f>
        <x:v>F2</x:v>
      </x:c>
      <x:c r="F18" s="26">
        <x:f>IF(E18="F1",B18,0)</x:f>
        <x:v>0</x:v>
      </x:c>
      <x:c r="G18" s="26">
        <x:f>B18-F18</x:f>
        <x:v>28.8</x:v>
      </x:c>
      <x:c r="H18" s="26">
        <x:f>C18-D18</x:f>
        <x:v>12.310000000000002</x:v>
      </x:c>
      <x:c r="I18" s="26">
        <x:f>MIN(G18,MAX(0,$B$10-I16-I17-I19))</x:f>
        <x:v>0</x:v>
      </x:c>
      <x:c r="J18" s="26">
        <x:f>F18+I18</x:f>
        <x:v>0</x:v>
      </x:c>
      <x:c r="K18" s="26">
        <x:f>G18-I18</x:f>
        <x:v>28.8</x:v>
      </x:c>
      <x:c r="L18" s="70">
        <x:f>J18*C18+K18*D18</x:f>
        <x:v>1240.848</x:v>
      </x:c>
      <x:c r="N18" s="10" t="inlineStr">
        <x:is>
          <x:t xml:space="preserve">F1 + F3</x:t>
        </x:is>
      </x:c>
      <x:c r="O18" s="26">
        <x:f>B4+Inputs!H14</x:f>
        <x:v>250</x:v>
      </x:c>
      <x:c r="P18" s="26">
        <x:f>B20</x:f>
        <x:v>287.5</x:v>
      </x:c>
      <x:c r="Q18" s="10" t="str">
        <x:f>IF(O18&gt;=P18,"Yes","No")</x:f>
        <x:v>No</x:v>
      </x:c>
    </x:row>
    <x:row r="19">
      <x:c r="A19" s="3" t="inlineStr">
        <x:is>
          <x:t xml:space="preserve">Eskisehir</x:t>
        </x:is>
      </x:c>
      <x:c r="B19" s="26">
        <x:f>Inputs!B17</x:f>
        <x:v>14.3</x:v>
      </x:c>
      <x:c r="C19" s="26">
        <x:f>Inputs!H28</x:f>
        <x:v>34.468</x:v>
      </x:c>
      <x:c r="D19" s="26">
        <x:f>Inputs!I28</x:f>
        <x:v>24.62</x:v>
      </x:c>
      <x:c r="E19" s="10" t="str">
        <x:f>IF(C19&lt;=D19,"F1","F2")</x:f>
        <x:v>F2</x:v>
      </x:c>
      <x:c r="F19" s="26">
        <x:f>IF(E19="F1",B19,0)</x:f>
        <x:v>0</x:v>
      </x:c>
      <x:c r="G19" s="26">
        <x:f>B19-F19</x:f>
        <x:v>14.3</x:v>
      </x:c>
      <x:c r="H19" s="26">
        <x:f>C19-D19</x:f>
        <x:v>9.848000000000003</x:v>
      </x:c>
      <x:c r="I19" s="26">
        <x:f>MIN(G19,MAX(0,$B$10-I16-I17))</x:f>
        <x:v>0</x:v>
      </x:c>
      <x:c r="J19" s="26">
        <x:f>F19+I19</x:f>
        <x:v>0</x:v>
      </x:c>
      <x:c r="K19" s="26">
        <x:f>G19-I19</x:f>
        <x:v>14.3</x:v>
      </x:c>
      <x:c r="L19" s="70">
        <x:f>J19*C19+K19*D19</x:f>
        <x:v>352.06600000000003</x:v>
      </x:c>
      <x:c r="N19" s="10" t="inlineStr">
        <x:is>
          <x:t xml:space="preserve">F1 + F4</x:t>
        </x:is>
      </x:c>
      <x:c r="O19" s="26">
        <x:f>B4+Inputs!H15</x:f>
        <x:v>270</x:v>
      </x:c>
      <x:c r="P19" s="26">
        <x:f>B20</x:f>
        <x:v>287.5</x:v>
      </x:c>
      <x:c r="Q19" s="10" t="str">
        <x:f>IF(O19&gt;=P19,"Yes","No")</x:f>
        <x:v>No</x:v>
      </x:c>
    </x:row>
    <x:row r="20">
      <x:c r="A20" s="3" t="inlineStr">
        <x:is>
          <x:t xml:space="preserve">Total</x:t>
        </x:is>
      </x:c>
      <x:c r="B20" s="28">
        <x:f>SUM(B14:B19)</x:f>
        <x:v>287.5</x:v>
      </x:c>
      <x:c r="F20" s="28">
        <x:f>SUM(F14:F19)</x:f>
        <x:v>100.6</x:v>
      </x:c>
      <x:c r="G20" s="28">
        <x:f>SUM(G14:G19)</x:f>
        <x:v>186.90000000000003</x:v>
      </x:c>
      <x:c r="I20" s="28">
        <x:f>SUM(I14:I19)</x:f>
        <x:v>36.900000000000034</x:v>
      </x:c>
      <x:c r="J20" s="28">
        <x:f>SUM(J14:J19)</x:f>
        <x:v>137.50000000000003</x:v>
      </x:c>
      <x:c r="K20" s="28">
        <x:f>SUM(K14:K19)</x:f>
        <x:v>149.99999999999997</x:v>
      </x:c>
      <x:c r="L20" s="71">
        <x:f>SUM(L14:L19)</x:f>
        <x:v>4181.2146</x:v>
      </x:c>
    </x:row>
    <x:row r="22">
      <x:c r="N22" s="16" t="inlineStr">
        <x:is>
          <x:t xml:space="preserve">Optimal Combination</x:t>
        </x:is>
      </x:c>
      <x:c r="O22" s="25" t="inlineStr">
        <x:is>
          <x:t xml:space="preserve">F1 + F2</x:t>
        </x:is>
      </x:c>
    </x:row>
    <x:row r="23">
      <x:c r="N23" s="16" t="inlineStr">
        <x:is>
          <x:t xml:space="preserve">Scenario 3 Total Cost</x:t>
        </x:is>
      </x:c>
      <x:c r="O23" s="72">
        <x:f>O6</x:f>
        <x:v>13181.2146</x:v>
      </x:c>
    </x:row>
    <x:row r="24">
      <x:c r="N24" s="16" t="inlineStr">
        <x:is>
          <x:t xml:space="preserve">Note</x:t>
        </x:is>
      </x:c>
      <x:c r="O24" s="25" t="inlineStr">
        <x:is>
          <x:t xml:space="preserve">Reducing F1 capacity to 150 tons makes F1 + F2 the only feasible two-facility combination.</x:t>
        </x:is>
      </x:c>
    </x:row>
  </x:sheetData>
  <x:mergeCells>
    <x:mergeCell ref="N15:Q15"/>
    <x:mergeCell ref="N3:O3"/>
    <x:mergeCell ref="A3:D3"/>
    <x:mergeCell ref="A12:L12"/>
  </x:mergeCells>
  <x:pageMargins left="0.7" right="0.7" top="0.75" bottom="0.75" header="0.3" footer="0.3"/>
  <x:legacyDrawing xmlns:r="http://schemas.openxmlformats.org/officeDocument/2006/relationships" r:id="Rfd44438bf328481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4.42578125" style="38" customWidth="1"/>
    <x:col min="2" max="2" width="13.42578125" style="38" customWidth="1"/>
    <x:col min="3" max="4" width="11.5703125" style="38" customWidth="1"/>
    <x:col min="5" max="5" width="16.42578125" style="38" customWidth="1"/>
    <x:col min="6" max="7" width="10.85546875" style="38" customWidth="1"/>
    <x:col min="8" max="8" width="19.28515625" style="38" customWidth="1"/>
    <x:col min="9" max="9" width="11.5703125" style="38" customWidth="1"/>
    <x:col min="10" max="11" width="10" style="38" customWidth="1"/>
    <x:col min="12" max="12" width="18.28515625" style="38" customWidth="1"/>
    <x:col min="14" max="14" width="20.28515625" style="38" customWidth="1"/>
    <x:col min="15" max="15" width="79.85546875" style="38" customWidth="1"/>
    <x:col min="16" max="16" width="18.42578125" style="38" customWidth="1"/>
    <x:col min="17" max="17" width="9.42578125" style="38" customWidth="1"/>
  </x:cols>
  <x:sheetData>
    <x:row r="1" s="38" customFormat="1" ht="18.75" customHeight="1">
      <x:c r="A1" s="1" t="inlineStr">
        <x:is>
          <x:t xml:space="preserve">Scenario 4 - Demand Increase by 20%</x:t>
        </x:is>
      </x:c>
    </x:row>
    <x:row r="3">
      <x:c r="A3" s="37" t="inlineStr">
        <x:is>
          <x:t xml:space="preserve">Controls</x:t>
        </x:is>
      </x:c>
      <x:c r="N3" s="39" t="inlineStr">
        <x:is>
          <x:t xml:space="preserve">Cost Summary</x:t>
        </x:is>
      </x:c>
    </x:row>
    <x:row r="4">
      <x:c r="A4" s="4" t="inlineStr">
        <x:is>
          <x:t xml:space="preserve">F1 capacity (ton)</x:t>
        </x:is>
      </x:c>
      <x:c r="B4" s="5">
        <x:f>Inputs!G12</x:f>
        <x:v>200</x:v>
      </x:c>
      <x:c r="N4" s="16" t="inlineStr">
        <x:is>
          <x:t xml:space="preserve">Fixed Cost</x:t>
        </x:is>
      </x:c>
      <x:c r="O4" s="64">
        <x:f>B6+B7</x:f>
        <x:v>9000</x:v>
      </x:c>
    </x:row>
    <x:row r="5">
      <x:c r="A5" s="4" t="inlineStr">
        <x:is>
          <x:t xml:space="preserve">F2 capacity (ton)</x:t>
        </x:is>
      </x:c>
      <x:c r="B5" s="5">
        <x:f>Inputs!G13</x:f>
        <x:v>150</x:v>
      </x:c>
      <x:c r="N5" s="16" t="inlineStr">
        <x:is>
          <x:t xml:space="preserve">Variable Cost</x:t>
        </x:is>
      </x:c>
      <x:c r="O5" s="64">
        <x:f>L20</x:f>
        <x:v>5119.088879999999</x:v>
      </x:c>
    </x:row>
    <x:row r="6">
      <x:c r="A6" s="4" t="inlineStr">
        <x:is>
          <x:t xml:space="preserve">Fixed cost of F1 (USD)</x:t>
        </x:is>
      </x:c>
      <x:c r="B6" s="19">
        <x:f>Inputs!F12</x:f>
        <x:v>5000</x:v>
      </x:c>
      <x:c r="N6" s="16" t="inlineStr">
        <x:is>
          <x:t xml:space="preserve">Total Cost</x:t>
        </x:is>
      </x:c>
      <x:c r="O6" s="64">
        <x:f>O4+O5</x:f>
        <x:v>14119.08888</x:v>
      </x:c>
    </x:row>
    <x:row r="7">
      <x:c r="A7" s="4" t="inlineStr">
        <x:is>
          <x:t xml:space="preserve">Fixed cost of F2 (USD)</x:t>
        </x:is>
      </x:c>
      <x:c r="B7" s="19">
        <x:f>Inputs!F13</x:f>
        <x:v>4000</x:v>
      </x:c>
      <x:c r="N7" s="20" t="n"/>
      <x:c r="O7" s="21" t="n"/>
    </x:row>
    <x:row r="8">
      <x:c r="A8" s="4" t="inlineStr">
        <x:is>
          <x:t xml:space="preserve">Initial load on F1 before shifting</x:t>
        </x:is>
      </x:c>
      <x:c r="B8" s="22">
        <x:f>SUM(F14:F19)</x:f>
        <x:v>120.71999999999998</x:v>
      </x:c>
      <x:c r="N8" s="16" t="inlineStr">
        <x:is>
          <x:t xml:space="preserve">Final Load on F1</x:t>
        </x:is>
      </x:c>
      <x:c r="O8" s="23">
        <x:f>J20</x:f>
        <x:v>195</x:v>
      </x:c>
    </x:row>
    <x:row r="9">
      <x:c r="A9" s="4" t="inlineStr">
        <x:is>
          <x:t xml:space="preserve">Initial load on F2 before shifting</x:t>
        </x:is>
      </x:c>
      <x:c r="B9" s="22">
        <x:f>SUM(G14:G19)</x:f>
        <x:v>224.28</x:v>
      </x:c>
      <x:c r="N9" s="16" t="inlineStr">
        <x:is>
          <x:t xml:space="preserve">Final Load on F2</x:t>
        </x:is>
      </x:c>
      <x:c r="O9" s="23">
        <x:f>K20</x:f>
        <x:v>150</x:v>
      </x:c>
    </x:row>
    <x:row r="10">
      <x:c r="A10" s="4" t="inlineStr">
        <x:is>
          <x:t xml:space="preserve">Shift required from F2 to F1</x:t>
        </x:is>
      </x:c>
      <x:c r="B10" s="22">
        <x:f>MIN(MAX(0,B9-B5),MAX(0,B4-B8))</x:f>
        <x:v>74.28</x:v>
      </x:c>
      <x:c r="N10" s="16" t="inlineStr">
        <x:is>
          <x:t xml:space="preserve">Utilization F1</x:t>
        </x:is>
      </x:c>
      <x:c r="O10" s="24">
        <x:f>O8/B4</x:f>
        <x:v>0.975</x:v>
      </x:c>
    </x:row>
    <x:row r="11">
      <x:c r="N11" s="16" t="inlineStr">
        <x:is>
          <x:t xml:space="preserve">Utilization F2</x:t>
        </x:is>
      </x:c>
      <x:c r="O11" s="24">
        <x:f>O9/B5</x:f>
        <x:v>1</x:v>
      </x:c>
    </x:row>
    <x:row r="12">
      <x:c r="A12" s="37" t="inlineStr">
        <x:is>
          <x:t xml:space="preserve">Flow Allocation Table</x:t>
        </x:is>
      </x:c>
      <x:c r="N12" s="16" t="inlineStr">
        <x:is>
          <x:t xml:space="preserve">Feasibility Check</x:t>
        </x:is>
      </x:c>
      <x:c r="O12" s="25" t="str">
        <x:f>IF(AND(ABS(B20-J20-K20)&lt;0.001,O8&lt;=B4+0.001,O9&lt;=B5+0.001),"OK","CHECK")</x:f>
        <x:v>OK</x:v>
      </x:c>
    </x:row>
    <x:row r="13">
      <x:c r="A13" s="6" t="inlineStr">
        <x:is>
          <x:t xml:space="preserve">City</x:t>
        </x:is>
      </x:c>
      <x:c r="B13" s="7" t="inlineStr">
        <x:is>
          <x:t xml:space="preserve">Demand (ton)</x:t>
        </x:is>
      </x:c>
      <x:c r="C13" s="7" t="inlineStr">
        <x:is>
          <x:t xml:space="preserve">Unit Cost F1</x:t>
        </x:is>
      </x:c>
      <x:c r="D13" s="7" t="inlineStr">
        <x:is>
          <x:t xml:space="preserve">Unit Cost F2</x:t>
        </x:is>
      </x:c>
      <x:c r="E13" s="7" t="inlineStr">
        <x:is>
          <x:t xml:space="preserve">Preferred Facility</x:t>
        </x:is>
      </x:c>
      <x:c r="F13" s="7" t="inlineStr">
        <x:is>
          <x:t xml:space="preserve">Initial to F1</x:t>
        </x:is>
      </x:c>
      <x:c r="G13" s="7" t="inlineStr">
        <x:is>
          <x:t xml:space="preserve">Initial to F2</x:t>
        </x:is>
      </x:c>
      <x:c r="H13" s="7" t="inlineStr">
        <x:is>
          <x:t xml:space="preserve">Delta if Shifted to F1</x:t>
        </x:is>
      </x:c>
      <x:c r="I13" s="7" t="inlineStr">
        <x:is>
          <x:t xml:space="preserve">Shift F2→F1</x:t>
        </x:is>
      </x:c>
      <x:c r="J13" s="7" t="inlineStr">
        <x:is>
          <x:t xml:space="preserve">Final to F1</x:t>
        </x:is>
      </x:c>
      <x:c r="K13" s="7" t="inlineStr">
        <x:is>
          <x:t xml:space="preserve">Final to F2</x:t>
        </x:is>
      </x:c>
      <x:c r="L13" s="7" t="inlineStr">
        <x:is>
          <x:t xml:space="preserve">Row Variable Cost</x:t>
        </x:is>
      </x:c>
    </x:row>
    <x:row r="14">
      <x:c r="A14" s="3" t="inlineStr">
        <x:is>
          <x:t xml:space="preserve">Istanbul</x:t>
        </x:is>
      </x:c>
      <x:c r="B14" s="26">
        <x:f>Inputs!C12</x:f>
        <x:v>120.71999999999998</x:v>
      </x:c>
      <x:c r="C14" s="26">
        <x:f>Inputs!H23</x:f>
        <x:v>1.231</x:v>
      </x:c>
      <x:c r="D14" s="26">
        <x:f>Inputs!I23</x:f>
        <x:v>10.4635</x:v>
      </x:c>
      <x:c r="E14" s="10" t="str">
        <x:f>IF(C14&lt;=D14,"F1","F2")</x:f>
        <x:v>F1</x:v>
      </x:c>
      <x:c r="F14" s="26">
        <x:f>IF(E14="F1",B14,0)</x:f>
        <x:v>120.71999999999998</x:v>
      </x:c>
      <x:c r="G14" s="26">
        <x:f>B14-F14</x:f>
        <x:v>0</x:v>
      </x:c>
      <x:c r="H14" s="26">
        <x:f>C14-D14</x:f>
        <x:v>-9.2325</x:v>
      </x:c>
      <x:c r="I14" s="26" t="n">
        <x:v>0</x:v>
      </x:c>
      <x:c r="J14" s="26">
        <x:f>F14+I14</x:f>
        <x:v>120.71999999999998</x:v>
      </x:c>
      <x:c r="K14" s="26">
        <x:f>G14-I14</x:f>
        <x:v>0</x:v>
      </x:c>
      <x:c r="L14" s="70">
        <x:f>J14*C14+K14*D14</x:f>
        <x:v>148.60631999999998</x:v>
      </x:c>
    </x:row>
    <x:row r="15">
      <x:c r="A15" s="3" t="inlineStr">
        <x:is>
          <x:t xml:space="preserve">Kocaeli</x:t>
        </x:is>
      </x:c>
      <x:c r="B15" s="26">
        <x:f>Inputs!C13</x:f>
        <x:v>86.28</x:v>
      </x:c>
      <x:c r="C15" s="26">
        <x:f>Inputs!H24</x:f>
        <x:v>10.4635</x:v>
      </x:c>
      <x:c r="D15" s="26">
        <x:f>Inputs!I24</x:f>
        <x:v>1.231</x:v>
      </x:c>
      <x:c r="E15" s="10" t="str">
        <x:f>IF(C15&lt;=D15,"F1","F2")</x:f>
        <x:v>F2</x:v>
      </x:c>
      <x:c r="F15" s="26">
        <x:f>IF(E15="F1",B15,0)</x:f>
        <x:v>0</x:v>
      </x:c>
      <x:c r="G15" s="26">
        <x:f>B15-F15</x:f>
        <x:v>86.28</x:v>
      </x:c>
      <x:c r="H15" s="26">
        <x:f>C15-D15</x:f>
        <x:v>9.2325</x:v>
      </x:c>
      <x:c r="I15" s="26" t="n">
        <x:v>0</x:v>
      </x:c>
      <x:c r="J15" s="26">
        <x:f>F15+I15</x:f>
        <x:v>0</x:v>
      </x:c>
      <x:c r="K15" s="26">
        <x:f>G15-I15</x:f>
        <x:v>86.28</x:v>
      </x:c>
      <x:c r="L15" s="70">
        <x:f>J15*C15+K15*D15</x:f>
        <x:v>106.21068000000001</x:v>
      </x:c>
      <x:c r="N15" s="39" t="inlineStr">
        <x:is>
          <x:t xml:space="preserve">Feasible Pair Check</x:t>
        </x:is>
      </x:c>
    </x:row>
    <x:row r="16">
      <x:c r="A16" s="3" t="inlineStr">
        <x:is>
          <x:t xml:space="preserve">Bursa</x:t>
        </x:is>
      </x:c>
      <x:c r="B16" s="26">
        <x:f>Inputs!C14</x:f>
        <x:v>51.72</x:v>
      </x:c>
      <x:c r="C16" s="26">
        <x:f>Inputs!H25</x:f>
        <x:v>18.465</x:v>
      </x:c>
      <x:c r="D16" s="26">
        <x:f>Inputs!I25</x:f>
        <x:v>16.003</x:v>
      </x:c>
      <x:c r="E16" s="10" t="str">
        <x:f>IF(C16&lt;=D16,"F1","F2")</x:f>
        <x:v>F2</x:v>
      </x:c>
      <x:c r="F16" s="26">
        <x:f>IF(E16="F1",B16,0)</x:f>
        <x:v>0</x:v>
      </x:c>
      <x:c r="G16" s="26">
        <x:f>B16-F16</x:f>
        <x:v>51.72</x:v>
      </x:c>
      <x:c r="H16" s="26">
        <x:f>C16-D16</x:f>
        <x:v>2.4619999999999997</x:v>
      </x:c>
      <x:c r="I16" s="26">
        <x:f>MIN(G16,$B$10)</x:f>
        <x:v>51.72</x:v>
      </x:c>
      <x:c r="J16" s="26">
        <x:f>F16+I16</x:f>
        <x:v>51.72</x:v>
      </x:c>
      <x:c r="K16" s="26">
        <x:f>G16-I16</x:f>
        <x:v>0</x:v>
      </x:c>
      <x:c r="L16" s="70">
        <x:f>J16*C16+K16*D16</x:f>
        <x:v>955.0097999999999</x:v>
      </x:c>
      <x:c r="N16" s="7" t="inlineStr">
        <x:is>
          <x:t xml:space="preserve">Pair</x:t>
        </x:is>
      </x:c>
      <x:c r="O16" s="7" t="inlineStr">
        <x:is>
          <x:t xml:space="preserve">Available Capacity (ton)</x:t>
        </x:is>
      </x:c>
      <x:c r="P16" s="7" t="inlineStr">
        <x:is>
          <x:t xml:space="preserve">Total Demand (ton)</x:t>
        </x:is>
      </x:c>
      <x:c r="Q16" s="7" t="inlineStr">
        <x:is>
          <x:t xml:space="preserve">Feasible?</x:t>
        </x:is>
      </x:c>
    </x:row>
    <x:row r="17">
      <x:c r="A17" s="3" t="inlineStr">
        <x:is>
          <x:t xml:space="preserve">Izmir</x:t>
        </x:is>
      </x:c>
      <x:c r="B17" s="26">
        <x:f>Inputs!C15</x:f>
        <x:v>34.56</x:v>
      </x:c>
      <x:c r="C17" s="26">
        <x:f>Inputs!H26</x:f>
        <x:v>59.088</x:v>
      </x:c>
      <x:c r="D17" s="26">
        <x:f>Inputs!I26</x:f>
        <x:v>55.395</x:v>
      </x:c>
      <x:c r="E17" s="10" t="str">
        <x:f>IF(C17&lt;=D17,"F1","F2")</x:f>
        <x:v>F2</x:v>
      </x:c>
      <x:c r="F17" s="26">
        <x:f>IF(E17="F1",B17,0)</x:f>
        <x:v>0</x:v>
      </x:c>
      <x:c r="G17" s="26">
        <x:f>B17-F17</x:f>
        <x:v>34.56</x:v>
      </x:c>
      <x:c r="H17" s="26">
        <x:f>C17-D17</x:f>
        <x:v>3.692999999999998</x:v>
      </x:c>
      <x:c r="I17" s="26">
        <x:f>MIN(G17,MAX(0,$B$10-I16))</x:f>
        <x:v>22.560000000000002</x:v>
      </x:c>
      <x:c r="J17" s="26">
        <x:f>F17+I17</x:f>
        <x:v>22.560000000000002</x:v>
      </x:c>
      <x:c r="K17" s="26">
        <x:f>G17-I17</x:f>
        <x:v>12</x:v>
      </x:c>
      <x:c r="L17" s="70">
        <x:f>J17*C17+K17*D17</x:f>
        <x:v>1997.76528</x:v>
      </x:c>
      <x:c r="N17" s="10" t="inlineStr">
        <x:is>
          <x:t xml:space="preserve">F1 + F2</x:t>
        </x:is>
      </x:c>
      <x:c r="O17" s="26">
        <x:f>B4+Inputs!G13</x:f>
        <x:v>350</x:v>
      </x:c>
      <x:c r="P17" s="26">
        <x:f>B20</x:f>
        <x:v>345.00000000000006</x:v>
      </x:c>
      <x:c r="Q17" s="10" t="str">
        <x:f>IF(O17&gt;=P17,"Yes","No")</x:f>
        <x:v>Yes</x:v>
      </x:c>
    </x:row>
    <x:row r="18">
      <x:c r="A18" s="3" t="inlineStr">
        <x:is>
          <x:t xml:space="preserve">Ankara</x:t>
        </x:is>
      </x:c>
      <x:c r="B18" s="26">
        <x:f>Inputs!C16</x:f>
        <x:v>34.56</x:v>
      </x:c>
      <x:c r="C18" s="26">
        <x:f>Inputs!H27</x:f>
        <x:v>55.395</x:v>
      </x:c>
      <x:c r="D18" s="26">
        <x:f>Inputs!I27</x:f>
        <x:v>43.085</x:v>
      </x:c>
      <x:c r="E18" s="10" t="str">
        <x:f>IF(C18&lt;=D18,"F1","F2")</x:f>
        <x:v>F2</x:v>
      </x:c>
      <x:c r="F18" s="26">
        <x:f>IF(E18="F1",B18,0)</x:f>
        <x:v>0</x:v>
      </x:c>
      <x:c r="G18" s="26">
        <x:f>B18-F18</x:f>
        <x:v>34.56</x:v>
      </x:c>
      <x:c r="H18" s="26">
        <x:f>C18-D18</x:f>
        <x:v>12.310000000000002</x:v>
      </x:c>
      <x:c r="I18" s="26">
        <x:f>MIN(G18,MAX(0,$B$10-I16-I17-I19))</x:f>
        <x:v>0</x:v>
      </x:c>
      <x:c r="J18" s="26">
        <x:f>F18+I18</x:f>
        <x:v>0</x:v>
      </x:c>
      <x:c r="K18" s="26">
        <x:f>G18-I18</x:f>
        <x:v>34.56</x:v>
      </x:c>
      <x:c r="L18" s="70">
        <x:f>J18*C18+K18*D18</x:f>
        <x:v>1489.0176000000001</x:v>
      </x:c>
      <x:c r="N18" s="10" t="inlineStr">
        <x:is>
          <x:t xml:space="preserve">F1 + F3</x:t>
        </x:is>
      </x:c>
      <x:c r="O18" s="26">
        <x:f>B4+Inputs!G14</x:f>
        <x:v>300</x:v>
      </x:c>
      <x:c r="P18" s="26">
        <x:f>B20</x:f>
        <x:v>345.00000000000006</x:v>
      </x:c>
      <x:c r="Q18" s="10" t="str">
        <x:f>IF(O18&gt;=P18,"Yes","No")</x:f>
        <x:v>No</x:v>
      </x:c>
    </x:row>
    <x:row r="19">
      <x:c r="A19" s="3" t="inlineStr">
        <x:is>
          <x:t xml:space="preserve">Eskisehir</x:t>
        </x:is>
      </x:c>
      <x:c r="B19" s="26">
        <x:f>Inputs!C17</x:f>
        <x:v>17.16</x:v>
      </x:c>
      <x:c r="C19" s="26">
        <x:f>Inputs!H28</x:f>
        <x:v>34.468</x:v>
      </x:c>
      <x:c r="D19" s="26">
        <x:f>Inputs!I28</x:f>
        <x:v>24.62</x:v>
      </x:c>
      <x:c r="E19" s="10" t="str">
        <x:f>IF(C19&lt;=D19,"F1","F2")</x:f>
        <x:v>F2</x:v>
      </x:c>
      <x:c r="F19" s="26">
        <x:f>IF(E19="F1",B19,0)</x:f>
        <x:v>0</x:v>
      </x:c>
      <x:c r="G19" s="26">
        <x:f>B19-F19</x:f>
        <x:v>17.16</x:v>
      </x:c>
      <x:c r="H19" s="26">
        <x:f>C19-D19</x:f>
        <x:v>9.848000000000003</x:v>
      </x:c>
      <x:c r="I19" s="26">
        <x:f>MIN(G19,MAX(0,$B$10-I16-I17))</x:f>
        <x:v>0</x:v>
      </x:c>
      <x:c r="J19" s="26">
        <x:f>F19+I19</x:f>
        <x:v>0</x:v>
      </x:c>
      <x:c r="K19" s="26">
        <x:f>G19-I19</x:f>
        <x:v>17.16</x:v>
      </x:c>
      <x:c r="L19" s="70">
        <x:f>J19*C19+K19*D19</x:f>
        <x:v>422.47920000000005</x:v>
      </x:c>
      <x:c r="N19" s="10" t="inlineStr">
        <x:is>
          <x:t xml:space="preserve">F1 + F4</x:t>
        </x:is>
      </x:c>
      <x:c r="O19" s="26">
        <x:f>B4+Inputs!G15</x:f>
        <x:v>320</x:v>
      </x:c>
      <x:c r="P19" s="26">
        <x:f>B20</x:f>
        <x:v>345.00000000000006</x:v>
      </x:c>
      <x:c r="Q19" s="10" t="str">
        <x:f>IF(O19&gt;=P19,"Yes","No")</x:f>
        <x:v>No</x:v>
      </x:c>
    </x:row>
    <x:row r="20">
      <x:c r="A20" s="3" t="inlineStr">
        <x:is>
          <x:t xml:space="preserve">Total</x:t>
        </x:is>
      </x:c>
      <x:c r="B20" s="28">
        <x:f>SUM(B14:B19)</x:f>
        <x:v>345.00000000000006</x:v>
      </x:c>
      <x:c r="F20" s="28">
        <x:f>SUM(F14:F19)</x:f>
        <x:v>120.71999999999998</x:v>
      </x:c>
      <x:c r="G20" s="28">
        <x:f>SUM(G14:G19)</x:f>
        <x:v>224.28</x:v>
      </x:c>
      <x:c r="I20" s="28">
        <x:f>SUM(I14:I19)</x:f>
        <x:v>74.28</x:v>
      </x:c>
      <x:c r="J20" s="28">
        <x:f>SUM(J14:J19)</x:f>
        <x:v>195</x:v>
      </x:c>
      <x:c r="K20" s="28">
        <x:f>SUM(K14:K19)</x:f>
        <x:v>150</x:v>
      </x:c>
      <x:c r="L20" s="71">
        <x:f>SUM(L14:L19)</x:f>
        <x:v>5119.088879999999</x:v>
      </x:c>
    </x:row>
    <x:row r="22">
      <x:c r="N22" s="16" t="inlineStr">
        <x:is>
          <x:t xml:space="preserve">Optimal Combination</x:t>
        </x:is>
      </x:c>
      <x:c r="O22" s="25" t="inlineStr">
        <x:is>
          <x:t xml:space="preserve">F1 + F2</x:t>
        </x:is>
      </x:c>
    </x:row>
    <x:row r="23">
      <x:c r="N23" s="16" t="inlineStr">
        <x:is>
          <x:t xml:space="preserve">Scenario 4 Total Cost</x:t>
        </x:is>
      </x:c>
      <x:c r="O23" s="72">
        <x:f>O6</x:f>
        <x:v>14119.08888</x:v>
      </x:c>
    </x:row>
    <x:row r="24">
      <x:c r="N24" s="16" t="inlineStr">
        <x:is>
          <x:t xml:space="preserve">Note</x:t>
        </x:is>
      </x:c>
      <x:c r="O24" s="25" t="inlineStr">
        <x:is>
          <x:t xml:space="preserve">Demand increase shifts the optimal combination to F1 + F2 under capacity constraints.</x:t>
        </x:is>
      </x:c>
    </x:row>
  </x:sheetData>
  <x:mergeCells>
    <x:mergeCell ref="N15:Q15"/>
    <x:mergeCell ref="N3:O3"/>
    <x:mergeCell ref="A3:D3"/>
    <x:mergeCell ref="A12:L12"/>
  </x:mergeCells>
  <x:pageMargins left="0.7" right="0.7" top="0.75" bottom="0.75" header="0.3" footer="0.3"/>
  <x:legacyDrawing xmlns:r="http://schemas.openxmlformats.org/officeDocument/2006/relationships" r:id="R05eb015b2ff04329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8" customWidth="1"/>
    <x:col min="2" max="2" width="44" style="38" customWidth="1"/>
    <x:col min="3" max="3" width="24" style="38" customWidth="1"/>
    <x:col min="4" max="4" width="18" style="38" customWidth="1"/>
    <x:col min="5" max="5" width="18" style="38" customWidth="1"/>
    <x:col min="6" max="6" width="18" style="38" customWidth="1"/>
  </x:cols>
  <x:sheetData>
    <x:row r="1" s="38" customFormat="1" ht="18.75" customHeight="1">
      <x:c r="A1" s="53" t="inlineStr">
        <x:is>
          <x:t xml:space="preserve">Sensitivity Analysis Summary</x:t>
        </x:is>
      </x:c>
    </x:row>
    <x:row r="4">
      <x:c r="A4" s="46" t="inlineStr">
        <x:is>
          <x:t xml:space="preserve">Scenario Summary Table</x:t>
        </x:is>
      </x:c>
    </x:row>
    <x:row r="5" s="38" customFormat="1" ht="15.75" customHeight="1">
      <x:c r="A5" s="40" t="inlineStr">
        <x:is>
          <x:t xml:space="preserve">Scenario</x:t>
        </x:is>
      </x:c>
      <x:c r="B5" s="41" t="inlineStr">
        <x:is>
          <x:t xml:space="preserve">Changed Parameter</x:t>
        </x:is>
      </x:c>
      <x:c r="C5" s="41" t="inlineStr">
        <x:is>
          <x:t xml:space="preserve">Optimal Combination</x:t>
        </x:is>
      </x:c>
      <x:c r="D5" s="41" t="inlineStr">
        <x:is>
          <x:t xml:space="preserve">Fixed Cost (USD/year)</x:t>
        </x:is>
      </x:c>
      <x:c r="E5" s="41" t="inlineStr">
        <x:is>
          <x:t xml:space="preserve">Variable Cost (USD)</x:t>
        </x:is>
      </x:c>
      <x:c r="F5" s="41" t="inlineStr">
        <x:is>
          <x:t xml:space="preserve">Total Cost (USD/year)</x:t>
        </x:is>
      </x:c>
    </x:row>
    <x:row r="6">
      <x:c r="A6" s="3" t="inlineStr">
        <x:is>
          <x:t xml:space="preserve">S0</x:t>
        </x:is>
      </x:c>
      <x:c r="B6" s="8" t="inlineStr">
        <x:is>
          <x:t xml:space="preserve">Base case</x:t>
        </x:is>
      </x:c>
      <x:c r="C6" s="8" t="inlineStr">
        <x:is>
          <x:t xml:space="preserve">F1 + F3</x:t>
        </x:is>
      </x:c>
      <x:c r="D6" s="62">
        <x:f>Base_Summary!I7</x:f>
        <x:v>7500</x:v>
      </x:c>
      <x:c r="E6" s="62">
        <x:f>Base_Summary!I6</x:f>
        <x:v>3976.3146500000007</x:v>
      </x:c>
      <x:c r="F6" s="62">
        <x:f>Base_Summary!I5</x:f>
        <x:v>11476.31465</x:v>
      </x:c>
    </x:row>
    <x:row r="7">
      <x:c r="A7" s="3" t="inlineStr">
        <x:is>
          <x:t xml:space="preserve">S1</x:t>
        </x:is>
      </x:c>
      <x:c r="B7" s="8" t="inlineStr">
        <x:is>
          <x:t xml:space="preserve">Lower transport coefficient (0.10)</x:t>
        </x:is>
      </x:c>
      <x:c r="C7" s="8" t="inlineStr">
        <x:is>
          <x:t xml:space="preserve">F1 + F3</x:t>
        </x:is>
      </x:c>
      <x:c r="D7" s="62">
        <x:f>Scenario_1!B12</x:f>
        <x:v>7500</x:v>
      </x:c>
      <x:c r="E7" s="62">
        <x:f>Scenario_1!D12</x:f>
        <x:v>3330.284650000001</x:v>
      </x:c>
      <x:c r="F7" s="62">
        <x:f>Scenario_1!E12</x:f>
        <x:v>10830.284650000001</x:v>
      </x:c>
    </x:row>
    <x:row r="8">
      <x:c r="A8" s="3" t="inlineStr">
        <x:is>
          <x:t xml:space="preserve">S2</x:t>
        </x:is>
      </x:c>
      <x:c r="B8" s="8" t="inlineStr">
        <x:is>
          <x:t xml:space="preserve">Higher transport coefficient (0.15)</x:t>
        </x:is>
      </x:c>
      <x:c r="C8" s="8" t="inlineStr">
        <x:is>
          <x:t xml:space="preserve">F1 + F3</x:t>
        </x:is>
      </x:c>
      <x:c r="D8" s="62">
        <x:f>Scenario_2!B12</x:f>
        <x:v>7500</x:v>
      </x:c>
      <x:c r="E8" s="62">
        <x:f>Scenario_2!D12</x:f>
        <x:v>4945.359650000001</x:v>
      </x:c>
      <x:c r="F8" s="62">
        <x:f>Scenario_2!E12</x:f>
        <x:v>12445.359650000002</x:v>
      </x:c>
    </x:row>
    <x:row r="9">
      <x:c r="A9" s="3" t="inlineStr">
        <x:is>
          <x:t xml:space="preserve">S3</x:t>
        </x:is>
      </x:c>
      <x:c r="B9" s="8" t="inlineStr">
        <x:is>
          <x:t xml:space="preserve">F1 capacity reduced to 150</x:t>
        </x:is>
      </x:c>
      <x:c r="C9" s="8" t="inlineStr">
        <x:is>
          <x:t xml:space="preserve">F1 + F2</x:t>
        </x:is>
      </x:c>
      <x:c r="D9" s="62">
        <x:f>Scenario_3!O4</x:f>
        <x:v>9000</x:v>
      </x:c>
      <x:c r="E9" s="62">
        <x:f>Scenario_3!O5</x:f>
        <x:v>4181.2146</x:v>
      </x:c>
      <x:c r="F9" s="62">
        <x:f>Scenario_3!O6</x:f>
        <x:v>13181.2146</x:v>
      </x:c>
    </x:row>
    <x:row r="10">
      <x:c r="A10" s="3" t="inlineStr">
        <x:is>
          <x:t xml:space="preserve">S4</x:t>
        </x:is>
      </x:c>
      <x:c r="B10" s="8" t="inlineStr">
        <x:is>
          <x:t xml:space="preserve">Demand increased by 20%</x:t>
        </x:is>
      </x:c>
      <x:c r="C10" s="8" t="inlineStr">
        <x:is>
          <x:t xml:space="preserve">F1 + F2</x:t>
        </x:is>
      </x:c>
      <x:c r="D10" s="62">
        <x:f>Scenario_4!O4</x:f>
        <x:v>9000</x:v>
      </x:c>
      <x:c r="E10" s="63">
        <x:f>Scenario_4!O5</x:f>
        <x:v>5119.088879999999</x:v>
      </x:c>
      <x:c r="F10" s="63">
        <x:f>Scenario_4!O6</x:f>
        <x:v>14119.08888</x:v>
      </x:c>
    </x:row>
    <x:row r="14">
      <x:c r="A14" s="48" t="inlineStr">
        <x:is>
          <x:t xml:space="preserve">Key Finding</x:t>
        </x:is>
      </x:c>
      <x:c r="C14" s="47" t="n"/>
      <x:c r="D14" s="47" t="n"/>
      <x:c r="E14" s="47" t="n"/>
    </x:row>
    <x:row r="15">
      <x:c r="A15" s="55" t="inlineStr">
        <x:is>
          <x:t xml:space="preserve">Main interpretation</x:t>
        </x:is>
      </x:c>
      <x:c r="B15" s="56" t="inlineStr">
        <x:is>
          <x:t xml:space="preserve">Transport coefficient changes (S1-S2) alter total cost but do not change the selected facility pair.</x:t>
        </x:is>
      </x:c>
      <x:c r="C15" s="47" t="n"/>
      <x:c r="D15" s="47" t="n"/>
      <x:c r="E15" s="47" t="n"/>
    </x:row>
    <x:row r="16">
      <x:c r="A16" s="55" t="inlineStr">
        <x:is>
          <x:t xml:space="preserve">Structural sensitivity</x:t>
        </x:is>
      </x:c>
      <x:c r="B16" s="56" t="inlineStr">
        <x:is>
          <x:t xml:space="preserve">Capacity reduction (S3) and demand growth (S4) switch the optimal pair from F1 + F3 to F1 + F2.</x:t>
        </x:is>
      </x:c>
      <x:c r="C16" s="47" t="n"/>
      <x:c r="D16" s="47" t="n"/>
      <x:c r="E16" s="47" t="n"/>
    </x:row>
  </x:sheetData>
  <x:mergeCells>
    <x:mergeCell ref="A14:B14"/>
    <x:mergeCell ref="A4:F4"/>
  </x:mergeCells>
  <x:pageMargins left="0.7" right="0.7" top="0.75" bottom="0.75" header="0.3" footer="0.3"/>
</x:worksheet>
</file>